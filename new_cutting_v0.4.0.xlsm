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2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emchenko\JOBs\LSM-4\Shear\"/>
    </mc:Choice>
  </mc:AlternateContent>
  <xr:revisionPtr revIDLastSave="0" documentId="13_ncr:1_{17B30303-8B50-49C1-AC22-EFCD29AA17F9}" xr6:coauthVersionLast="36" xr6:coauthVersionMax="36" xr10:uidLastSave="{00000000-0000-0000-0000-000000000000}"/>
  <bookViews>
    <workbookView xWindow="252" yWindow="0" windowWidth="14844" windowHeight="8004" tabRatio="751" activeTab="1" xr2:uid="{00000000-000D-0000-FFFF-FFFF00000000}"/>
  </bookViews>
  <sheets>
    <sheet name="Лист1" sheetId="1" r:id="rId1"/>
    <sheet name="#10new" sheetId="25" r:id="rId2"/>
    <sheet name="#12new" sheetId="4" r:id="rId3"/>
    <sheet name="#14new" sheetId="29" r:id="rId4"/>
    <sheet name="#16new" sheetId="26" r:id="rId5"/>
    <sheet name="#18new" sheetId="7" r:id="rId6"/>
    <sheet name="#20new" sheetId="8" r:id="rId7"/>
    <sheet name="#22new" sheetId="13" r:id="rId8"/>
    <sheet name="#24new" sheetId="23" r:id="rId9"/>
    <sheet name="#25new" sheetId="30" r:id="rId10"/>
    <sheet name="#28new" sheetId="27" r:id="rId11"/>
    <sheet name="#30new" sheetId="31" r:id="rId12"/>
    <sheet name="#32new" sheetId="24" r:id="rId13"/>
    <sheet name="#36new" sheetId="10" r:id="rId14"/>
    <sheet name="Лист2" sheetId="28" r:id="rId15"/>
  </sheets>
  <calcPr calcId="179021"/>
</workbook>
</file>

<file path=xl/calcChain.xml><?xml version="1.0" encoding="utf-8"?>
<calcChain xmlns="http://schemas.openxmlformats.org/spreadsheetml/2006/main">
  <c r="E19" i="1" l="1"/>
  <c r="E18" i="1"/>
  <c r="E17" i="1"/>
  <c r="E16" i="1"/>
  <c r="E15" i="1"/>
  <c r="E14" i="1"/>
  <c r="E13" i="1"/>
  <c r="E12" i="1"/>
  <c r="E11" i="1"/>
  <c r="E10" i="1"/>
  <c r="E9" i="1"/>
  <c r="E7" i="1"/>
  <c r="E6" i="1"/>
  <c r="E4" i="1"/>
  <c r="E5" i="1"/>
  <c r="J19" i="1" l="1"/>
  <c r="G19" i="1"/>
  <c r="F19" i="1"/>
  <c r="Q19" i="1"/>
  <c r="R18" i="1"/>
  <c r="K18" i="1"/>
  <c r="J18" i="1"/>
  <c r="G18" i="1"/>
  <c r="F18" i="1"/>
  <c r="Q18" i="1"/>
  <c r="N17" i="1"/>
  <c r="K17" i="1"/>
  <c r="J17" i="1"/>
  <c r="Q17" i="1"/>
  <c r="O16" i="1"/>
  <c r="N16" i="1"/>
  <c r="K16" i="1"/>
  <c r="J16" i="1"/>
  <c r="G16" i="1"/>
  <c r="F16" i="1"/>
  <c r="Q16" i="1"/>
  <c r="R15" i="1"/>
  <c r="O15" i="1"/>
  <c r="N15" i="1"/>
  <c r="K15" i="1"/>
  <c r="J15" i="1"/>
  <c r="G15" i="1"/>
  <c r="F15" i="1"/>
  <c r="Q15" i="1"/>
  <c r="R14" i="1"/>
  <c r="O14" i="1"/>
  <c r="Q14" i="1"/>
  <c r="R13" i="1"/>
  <c r="Q13" i="1"/>
  <c r="Q12" i="1"/>
  <c r="O11" i="1"/>
  <c r="J11" i="1"/>
  <c r="G11" i="1"/>
  <c r="F11" i="1"/>
  <c r="Q11" i="1"/>
  <c r="K10" i="1"/>
  <c r="J10" i="1"/>
  <c r="G10" i="1"/>
  <c r="Q10" i="1"/>
  <c r="N9" i="1"/>
  <c r="K9" i="1"/>
  <c r="J9" i="1"/>
  <c r="F9" i="1"/>
  <c r="Q9" i="1"/>
  <c r="O8" i="1"/>
  <c r="N8" i="1"/>
  <c r="K8" i="1"/>
  <c r="G8" i="1"/>
  <c r="F8" i="1"/>
  <c r="E8" i="1"/>
  <c r="Q8" i="1" s="1"/>
  <c r="R7" i="1"/>
  <c r="O7" i="1"/>
  <c r="N7" i="1"/>
  <c r="K7" i="1"/>
  <c r="J7" i="1"/>
  <c r="G7" i="1"/>
  <c r="F7" i="1"/>
  <c r="Q7" i="1"/>
  <c r="R6" i="1"/>
  <c r="O6" i="1"/>
  <c r="Q6" i="1"/>
  <c r="R5" i="1"/>
  <c r="Q5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R4" i="1"/>
  <c r="O4" i="1"/>
  <c r="N4" i="1"/>
  <c r="J4" i="1"/>
  <c r="G4" i="1"/>
  <c r="F4" i="1"/>
  <c r="Q4" i="1"/>
  <c r="S12" i="1" l="1"/>
  <c r="F13" i="1"/>
  <c r="S14" i="1"/>
  <c r="B100" i="27" s="1"/>
  <c r="K4" i="1"/>
  <c r="G5" i="1"/>
  <c r="F6" i="1"/>
  <c r="S7" i="1"/>
  <c r="R8" i="1"/>
  <c r="O9" i="1"/>
  <c r="N10" i="1"/>
  <c r="K11" i="1"/>
  <c r="J12" i="1"/>
  <c r="G13" i="1"/>
  <c r="F14" i="1"/>
  <c r="S15" i="1"/>
  <c r="B150" i="31" s="1"/>
  <c r="R16" i="1"/>
  <c r="B147" i="24" s="1"/>
  <c r="O17" i="1"/>
  <c r="N18" i="1"/>
  <c r="K19" i="1"/>
  <c r="S6" i="1"/>
  <c r="J5" i="1"/>
  <c r="G6" i="1"/>
  <c r="S8" i="1"/>
  <c r="R9" i="1"/>
  <c r="O10" i="1"/>
  <c r="N11" i="1"/>
  <c r="K12" i="1"/>
  <c r="J13" i="1"/>
  <c r="G14" i="1"/>
  <c r="S16" i="1"/>
  <c r="R17" i="1"/>
  <c r="O18" i="1"/>
  <c r="N19" i="1"/>
  <c r="J6" i="1"/>
  <c r="S9" i="1"/>
  <c r="R10" i="1"/>
  <c r="N12" i="1"/>
  <c r="K13" i="1"/>
  <c r="J14" i="1"/>
  <c r="B23" i="27" s="1"/>
  <c r="S17" i="1"/>
  <c r="O19" i="1"/>
  <c r="S5" i="1"/>
  <c r="F12" i="1"/>
  <c r="G12" i="1"/>
  <c r="N5" i="1"/>
  <c r="S10" i="1"/>
  <c r="R11" i="1"/>
  <c r="O12" i="1"/>
  <c r="N13" i="1"/>
  <c r="K14" i="1"/>
  <c r="F17" i="1"/>
  <c r="S18" i="1"/>
  <c r="R19" i="1"/>
  <c r="S13" i="1"/>
  <c r="F5" i="1"/>
  <c r="K5" i="1"/>
  <c r="K6" i="1"/>
  <c r="S4" i="1"/>
  <c r="O5" i="1"/>
  <c r="N6" i="1"/>
  <c r="J8" i="1"/>
  <c r="G9" i="1"/>
  <c r="F10" i="1"/>
  <c r="S11" i="1"/>
  <c r="R12" i="1"/>
  <c r="O13" i="1"/>
  <c r="N14" i="1"/>
  <c r="B135" i="27" s="1"/>
  <c r="G17" i="1"/>
  <c r="S19" i="1"/>
  <c r="H4" i="1"/>
  <c r="L4" i="1"/>
  <c r="P4" i="1"/>
  <c r="H5" i="1"/>
  <c r="L5" i="1"/>
  <c r="P5" i="1"/>
  <c r="H6" i="1"/>
  <c r="L6" i="1"/>
  <c r="P6" i="1"/>
  <c r="H7" i="1"/>
  <c r="L7" i="1"/>
  <c r="P7" i="1"/>
  <c r="H8" i="1"/>
  <c r="L8" i="1"/>
  <c r="P8" i="1"/>
  <c r="H9" i="1"/>
  <c r="L9" i="1"/>
  <c r="P9" i="1"/>
  <c r="H10" i="1"/>
  <c r="L10" i="1"/>
  <c r="P10" i="1"/>
  <c r="H11" i="1"/>
  <c r="L11" i="1"/>
  <c r="P11" i="1"/>
  <c r="H12" i="1"/>
  <c r="L12" i="1"/>
  <c r="P12" i="1"/>
  <c r="H13" i="1"/>
  <c r="L13" i="1"/>
  <c r="P13" i="1"/>
  <c r="H14" i="1"/>
  <c r="L14" i="1"/>
  <c r="B79" i="27" s="1"/>
  <c r="P14" i="1"/>
  <c r="B91" i="27" s="1"/>
  <c r="H15" i="1"/>
  <c r="B17" i="31" s="1"/>
  <c r="L15" i="1"/>
  <c r="B129" i="31" s="1"/>
  <c r="P15" i="1"/>
  <c r="B141" i="31" s="1"/>
  <c r="H16" i="1"/>
  <c r="B67" i="24" s="1"/>
  <c r="L16" i="1"/>
  <c r="P16" i="1"/>
  <c r="H17" i="1"/>
  <c r="L17" i="1"/>
  <c r="P17" i="1"/>
  <c r="H18" i="1"/>
  <c r="L18" i="1"/>
  <c r="P18" i="1"/>
  <c r="H19" i="1"/>
  <c r="L19" i="1"/>
  <c r="P19" i="1"/>
  <c r="I4" i="1"/>
  <c r="M4" i="1"/>
  <c r="I5" i="1"/>
  <c r="M5" i="1"/>
  <c r="I6" i="1"/>
  <c r="M6" i="1"/>
  <c r="I7" i="1"/>
  <c r="M7" i="1"/>
  <c r="I8" i="1"/>
  <c r="M8" i="1"/>
  <c r="I9" i="1"/>
  <c r="M9" i="1"/>
  <c r="I10" i="1"/>
  <c r="M10" i="1"/>
  <c r="I11" i="1"/>
  <c r="M11" i="1"/>
  <c r="I12" i="1"/>
  <c r="M12" i="1"/>
  <c r="I13" i="1"/>
  <c r="M13" i="1"/>
  <c r="I14" i="1"/>
  <c r="B120" i="27" s="1"/>
  <c r="M14" i="1"/>
  <c r="B82" i="27" s="1"/>
  <c r="I15" i="1"/>
  <c r="M15" i="1"/>
  <c r="B82" i="31" s="1"/>
  <c r="I16" i="1"/>
  <c r="B120" i="24" s="1"/>
  <c r="M16" i="1"/>
  <c r="B132" i="24" s="1"/>
  <c r="I17" i="1"/>
  <c r="M17" i="1"/>
  <c r="I18" i="1"/>
  <c r="M18" i="1"/>
  <c r="I19" i="1"/>
  <c r="M19" i="1"/>
  <c r="B150" i="24"/>
  <c r="B144" i="24"/>
  <c r="B141" i="24"/>
  <c r="B138" i="24"/>
  <c r="B135" i="24"/>
  <c r="B129" i="24"/>
  <c r="B126" i="24"/>
  <c r="B123" i="24"/>
  <c r="B114" i="24"/>
  <c r="B111" i="24"/>
  <c r="B100" i="24"/>
  <c r="B97" i="24"/>
  <c r="B94" i="24"/>
  <c r="B91" i="24"/>
  <c r="B88" i="24"/>
  <c r="B85" i="24"/>
  <c r="B79" i="24"/>
  <c r="B76" i="24"/>
  <c r="B73" i="24"/>
  <c r="B64" i="24"/>
  <c r="B61" i="24"/>
  <c r="B50" i="24"/>
  <c r="B47" i="24"/>
  <c r="B44" i="24"/>
  <c r="B41" i="24"/>
  <c r="B38" i="24"/>
  <c r="B35" i="24"/>
  <c r="B29" i="24"/>
  <c r="B26" i="24"/>
  <c r="B23" i="24"/>
  <c r="B14" i="24"/>
  <c r="B11" i="24"/>
  <c r="B147" i="31"/>
  <c r="B144" i="31"/>
  <c r="B138" i="31"/>
  <c r="B135" i="31"/>
  <c r="B132" i="31"/>
  <c r="B126" i="31"/>
  <c r="B123" i="31"/>
  <c r="B120" i="31"/>
  <c r="B117" i="31"/>
  <c r="B114" i="31"/>
  <c r="B111" i="31"/>
  <c r="B100" i="31"/>
  <c r="B97" i="31"/>
  <c r="B94" i="31"/>
  <c r="B88" i="31"/>
  <c r="B85" i="31"/>
  <c r="B79" i="31"/>
  <c r="B76" i="31"/>
  <c r="B73" i="31"/>
  <c r="B70" i="31"/>
  <c r="B67" i="31"/>
  <c r="B64" i="31"/>
  <c r="B61" i="31"/>
  <c r="B50" i="31"/>
  <c r="B47" i="31"/>
  <c r="B44" i="31"/>
  <c r="B38" i="31"/>
  <c r="B35" i="31"/>
  <c r="B32" i="31"/>
  <c r="B29" i="31"/>
  <c r="B26" i="31"/>
  <c r="B23" i="31"/>
  <c r="B20" i="31"/>
  <c r="B14" i="31"/>
  <c r="B11" i="31"/>
  <c r="B150" i="27"/>
  <c r="B147" i="27"/>
  <c r="B144" i="27"/>
  <c r="B138" i="27"/>
  <c r="B129" i="27"/>
  <c r="B126" i="27"/>
  <c r="B117" i="27"/>
  <c r="B114" i="27"/>
  <c r="B111" i="27"/>
  <c r="B97" i="27"/>
  <c r="B94" i="27"/>
  <c r="B88" i="27"/>
  <c r="B85" i="27"/>
  <c r="B76" i="27"/>
  <c r="B70" i="27"/>
  <c r="B67" i="27"/>
  <c r="B64" i="27"/>
  <c r="B61" i="27"/>
  <c r="B50" i="27"/>
  <c r="B47" i="27"/>
  <c r="B44" i="27"/>
  <c r="B41" i="27"/>
  <c r="B38" i="27"/>
  <c r="B32" i="27"/>
  <c r="B29" i="27"/>
  <c r="B26" i="27"/>
  <c r="B17" i="27"/>
  <c r="B14" i="27"/>
  <c r="B11" i="27"/>
  <c r="B82" i="24" l="1"/>
  <c r="B32" i="24"/>
  <c r="B91" i="31"/>
  <c r="B73" i="27"/>
  <c r="B123" i="27"/>
  <c r="B132" i="27"/>
  <c r="B35" i="27"/>
  <c r="B141" i="27"/>
  <c r="B70" i="24"/>
  <c r="B150" i="25"/>
  <c r="B100" i="25"/>
  <c r="B17" i="24"/>
  <c r="B117" i="24"/>
  <c r="B20" i="27"/>
  <c r="B20" i="24"/>
  <c r="C20" i="24" s="1"/>
  <c r="B41" i="31"/>
  <c r="C151" i="24"/>
  <c r="F151" i="24" s="1"/>
  <c r="G151" i="24" s="1"/>
  <c r="H151" i="24" s="1"/>
  <c r="I151" i="24" s="1"/>
  <c r="J151" i="24" s="1"/>
  <c r="K151" i="24" s="1"/>
  <c r="L151" i="24" s="1"/>
  <c r="M151" i="24" s="1"/>
  <c r="W150" i="24"/>
  <c r="A150" i="24"/>
  <c r="E148" i="24"/>
  <c r="C148" i="24"/>
  <c r="D148" i="24" s="1"/>
  <c r="E147" i="24" s="1"/>
  <c r="W147" i="24"/>
  <c r="C147" i="24"/>
  <c r="E149" i="24"/>
  <c r="A147" i="24"/>
  <c r="E146" i="24"/>
  <c r="C145" i="24"/>
  <c r="W144" i="24"/>
  <c r="A144" i="24"/>
  <c r="E142" i="24"/>
  <c r="C142" i="24"/>
  <c r="D142" i="24" s="1"/>
  <c r="E141" i="24" s="1"/>
  <c r="W141" i="24"/>
  <c r="C141" i="24"/>
  <c r="E143" i="24"/>
  <c r="A141" i="24"/>
  <c r="C139" i="24"/>
  <c r="W138" i="24"/>
  <c r="E140" i="24"/>
  <c r="A138" i="24"/>
  <c r="E136" i="24"/>
  <c r="C136" i="24"/>
  <c r="D136" i="24" s="1"/>
  <c r="E135" i="24" s="1"/>
  <c r="W135" i="24"/>
  <c r="C135" i="24"/>
  <c r="E137" i="24"/>
  <c r="A135" i="24"/>
  <c r="E134" i="24"/>
  <c r="C133" i="24"/>
  <c r="W132" i="24"/>
  <c r="A132" i="24"/>
  <c r="E130" i="24"/>
  <c r="C130" i="24"/>
  <c r="D130" i="24" s="1"/>
  <c r="E129" i="24" s="1"/>
  <c r="W129" i="24"/>
  <c r="C129" i="24"/>
  <c r="E131" i="24"/>
  <c r="A129" i="24"/>
  <c r="C127" i="24"/>
  <c r="W126" i="24"/>
  <c r="A126" i="24"/>
  <c r="E124" i="24"/>
  <c r="C124" i="24"/>
  <c r="D124" i="24" s="1"/>
  <c r="E123" i="24" s="1"/>
  <c r="W123" i="24"/>
  <c r="C123" i="24"/>
  <c r="E125" i="24"/>
  <c r="A123" i="24"/>
  <c r="E122" i="24"/>
  <c r="C121" i="24"/>
  <c r="W120" i="24"/>
  <c r="A120" i="24"/>
  <c r="E118" i="24"/>
  <c r="C118" i="24"/>
  <c r="D118" i="24" s="1"/>
  <c r="E117" i="24" s="1"/>
  <c r="W117" i="24"/>
  <c r="C117" i="24"/>
  <c r="E119" i="24"/>
  <c r="A117" i="24"/>
  <c r="C115" i="24"/>
  <c r="W114" i="24"/>
  <c r="A114" i="24"/>
  <c r="E112" i="24"/>
  <c r="C112" i="24"/>
  <c r="D112" i="24" s="1"/>
  <c r="E111" i="24" s="1"/>
  <c r="W111" i="24"/>
  <c r="C111" i="24"/>
  <c r="E113" i="24"/>
  <c r="A111" i="24"/>
  <c r="V110" i="24"/>
  <c r="I107" i="24"/>
  <c r="J107" i="24" s="1"/>
  <c r="E101" i="24"/>
  <c r="C101" i="24"/>
  <c r="F101" i="24" s="1"/>
  <c r="G101" i="24" s="1"/>
  <c r="H101" i="24" s="1"/>
  <c r="I101" i="24" s="1"/>
  <c r="J101" i="24" s="1"/>
  <c r="K101" i="24" s="1"/>
  <c r="L101" i="24" s="1"/>
  <c r="M101" i="24" s="1"/>
  <c r="W100" i="24"/>
  <c r="C100" i="24"/>
  <c r="E102" i="24"/>
  <c r="A100" i="24"/>
  <c r="E98" i="24"/>
  <c r="C98" i="24"/>
  <c r="W97" i="24"/>
  <c r="A97" i="24"/>
  <c r="E95" i="24"/>
  <c r="C95" i="24"/>
  <c r="D95" i="24" s="1"/>
  <c r="E94" i="24" s="1"/>
  <c r="W94" i="24"/>
  <c r="C94" i="24"/>
  <c r="A94" i="24"/>
  <c r="E92" i="24"/>
  <c r="C92" i="24"/>
  <c r="W91" i="24"/>
  <c r="A91" i="24"/>
  <c r="E89" i="24"/>
  <c r="C89" i="24"/>
  <c r="D89" i="24" s="1"/>
  <c r="E88" i="24" s="1"/>
  <c r="W88" i="24"/>
  <c r="C88" i="24"/>
  <c r="A88" i="24"/>
  <c r="E86" i="24"/>
  <c r="C86" i="24"/>
  <c r="W85" i="24"/>
  <c r="A85" i="24"/>
  <c r="E83" i="24"/>
  <c r="C83" i="24"/>
  <c r="D83" i="24" s="1"/>
  <c r="E82" i="24" s="1"/>
  <c r="W82" i="24"/>
  <c r="C82" i="24"/>
  <c r="A82" i="24"/>
  <c r="E80" i="24"/>
  <c r="C80" i="24"/>
  <c r="W79" i="24"/>
  <c r="A79" i="24"/>
  <c r="E77" i="24"/>
  <c r="C77" i="24"/>
  <c r="D77" i="24" s="1"/>
  <c r="E76" i="24" s="1"/>
  <c r="W76" i="24"/>
  <c r="C76" i="24"/>
  <c r="A76" i="24"/>
  <c r="E74" i="24"/>
  <c r="C74" i="24"/>
  <c r="W73" i="24"/>
  <c r="A73" i="24"/>
  <c r="E71" i="24"/>
  <c r="C71" i="24"/>
  <c r="D71" i="24" s="1"/>
  <c r="E70" i="24" s="1"/>
  <c r="W70" i="24"/>
  <c r="C70" i="24"/>
  <c r="A70" i="24"/>
  <c r="E68" i="24"/>
  <c r="C68" i="24"/>
  <c r="W67" i="24"/>
  <c r="A67" i="24"/>
  <c r="E65" i="24"/>
  <c r="C65" i="24"/>
  <c r="D65" i="24" s="1"/>
  <c r="E64" i="24" s="1"/>
  <c r="W64" i="24"/>
  <c r="C64" i="24"/>
  <c r="A64" i="24"/>
  <c r="C62" i="24"/>
  <c r="W61" i="24"/>
  <c r="A61" i="24"/>
  <c r="V60" i="24"/>
  <c r="I57" i="24"/>
  <c r="C51" i="24"/>
  <c r="F51" i="24" s="1"/>
  <c r="G51" i="24" s="1"/>
  <c r="H51" i="24" s="1"/>
  <c r="I51" i="24" s="1"/>
  <c r="J51" i="24" s="1"/>
  <c r="K51" i="24" s="1"/>
  <c r="L51" i="24" s="1"/>
  <c r="M51" i="24" s="1"/>
  <c r="W50" i="24"/>
  <c r="A50" i="24"/>
  <c r="E48" i="24"/>
  <c r="C48" i="24"/>
  <c r="D48" i="24" s="1"/>
  <c r="E47" i="24" s="1"/>
  <c r="W47" i="24"/>
  <c r="C47" i="24"/>
  <c r="A47" i="24"/>
  <c r="E45" i="24"/>
  <c r="C45" i="24"/>
  <c r="D45" i="24" s="1"/>
  <c r="E44" i="24" s="1"/>
  <c r="W44" i="24"/>
  <c r="C44" i="24"/>
  <c r="A44" i="24"/>
  <c r="E42" i="24"/>
  <c r="C42" i="24"/>
  <c r="D42" i="24" s="1"/>
  <c r="E41" i="24" s="1"/>
  <c r="W41" i="24"/>
  <c r="C41" i="24"/>
  <c r="A41" i="24"/>
  <c r="E39" i="24"/>
  <c r="C39" i="24"/>
  <c r="D39" i="24" s="1"/>
  <c r="E38" i="24" s="1"/>
  <c r="W38" i="24"/>
  <c r="A38" i="24"/>
  <c r="E36" i="24"/>
  <c r="C36" i="24"/>
  <c r="D36" i="24" s="1"/>
  <c r="E35" i="24" s="1"/>
  <c r="W35" i="24"/>
  <c r="C35" i="24"/>
  <c r="A35" i="24"/>
  <c r="E33" i="24"/>
  <c r="C33" i="24"/>
  <c r="D33" i="24" s="1"/>
  <c r="E32" i="24" s="1"/>
  <c r="W32" i="24"/>
  <c r="C32" i="24"/>
  <c r="A32" i="24"/>
  <c r="E30" i="24"/>
  <c r="C30" i="24"/>
  <c r="D30" i="24" s="1"/>
  <c r="E29" i="24" s="1"/>
  <c r="W29" i="24"/>
  <c r="C29" i="24"/>
  <c r="A29" i="24"/>
  <c r="E27" i="24"/>
  <c r="C27" i="24"/>
  <c r="D27" i="24" s="1"/>
  <c r="E26" i="24" s="1"/>
  <c r="W26" i="24"/>
  <c r="A26" i="24"/>
  <c r="E24" i="24"/>
  <c r="C24" i="24"/>
  <c r="D24" i="24" s="1"/>
  <c r="E23" i="24" s="1"/>
  <c r="W23" i="24"/>
  <c r="C23" i="24"/>
  <c r="A23" i="24"/>
  <c r="E21" i="24"/>
  <c r="C21" i="24"/>
  <c r="W20" i="24"/>
  <c r="A20" i="24"/>
  <c r="E18" i="24"/>
  <c r="C18" i="24"/>
  <c r="D18" i="24" s="1"/>
  <c r="E17" i="24" s="1"/>
  <c r="W17" i="24"/>
  <c r="C17" i="24"/>
  <c r="A17" i="24"/>
  <c r="E15" i="24"/>
  <c r="C15" i="24"/>
  <c r="D15" i="24" s="1"/>
  <c r="E14" i="24" s="1"/>
  <c r="W14" i="24"/>
  <c r="A14" i="24"/>
  <c r="E12" i="24"/>
  <c r="C12" i="24"/>
  <c r="D12" i="24" s="1"/>
  <c r="E11" i="24" s="1"/>
  <c r="W11" i="24"/>
  <c r="C11" i="24"/>
  <c r="E13" i="24"/>
  <c r="A11" i="24"/>
  <c r="V10" i="24"/>
  <c r="I7" i="24"/>
  <c r="I8" i="24" s="1"/>
  <c r="C151" i="31"/>
  <c r="F151" i="31" s="1"/>
  <c r="G151" i="31" s="1"/>
  <c r="H151" i="31" s="1"/>
  <c r="I151" i="31" s="1"/>
  <c r="J151" i="31" s="1"/>
  <c r="K151" i="31" s="1"/>
  <c r="L151" i="31" s="1"/>
  <c r="M151" i="31" s="1"/>
  <c r="W150" i="31"/>
  <c r="A150" i="31"/>
  <c r="C148" i="31"/>
  <c r="D148" i="31" s="1"/>
  <c r="E147" i="31" s="1"/>
  <c r="W147" i="31"/>
  <c r="C147" i="31"/>
  <c r="A147" i="31"/>
  <c r="E146" i="31"/>
  <c r="C145" i="31"/>
  <c r="W144" i="31"/>
  <c r="A144" i="31"/>
  <c r="C142" i="31"/>
  <c r="D142" i="31" s="1"/>
  <c r="E141" i="31" s="1"/>
  <c r="W141" i="31"/>
  <c r="C141" i="31"/>
  <c r="A141" i="31"/>
  <c r="C139" i="31"/>
  <c r="W138" i="31"/>
  <c r="E140" i="31"/>
  <c r="A138" i="31"/>
  <c r="C136" i="31"/>
  <c r="D136" i="31" s="1"/>
  <c r="E135" i="31" s="1"/>
  <c r="W135" i="31"/>
  <c r="C135" i="31"/>
  <c r="A135" i="31"/>
  <c r="E134" i="31"/>
  <c r="C133" i="31"/>
  <c r="W132" i="31"/>
  <c r="A132" i="31"/>
  <c r="C130" i="31"/>
  <c r="D130" i="31" s="1"/>
  <c r="E129" i="31" s="1"/>
  <c r="W129" i="31"/>
  <c r="C129" i="31"/>
  <c r="A129" i="31"/>
  <c r="C127" i="31"/>
  <c r="W126" i="31"/>
  <c r="A126" i="31"/>
  <c r="C124" i="31"/>
  <c r="D124" i="31" s="1"/>
  <c r="E123" i="31" s="1"/>
  <c r="W123" i="31"/>
  <c r="C123" i="31"/>
  <c r="E125" i="31"/>
  <c r="A123" i="31"/>
  <c r="C121" i="31"/>
  <c r="W120" i="31"/>
  <c r="A120" i="31"/>
  <c r="C118" i="31"/>
  <c r="D118" i="31" s="1"/>
  <c r="E117" i="31" s="1"/>
  <c r="W117" i="31"/>
  <c r="C117" i="31"/>
  <c r="E119" i="31"/>
  <c r="A117" i="31"/>
  <c r="C115" i="31"/>
  <c r="W114" i="31"/>
  <c r="A114" i="31"/>
  <c r="C112" i="31"/>
  <c r="D112" i="31" s="1"/>
  <c r="E111" i="31" s="1"/>
  <c r="W111" i="31"/>
  <c r="C111" i="31"/>
  <c r="E113" i="31"/>
  <c r="A111" i="31"/>
  <c r="V110" i="31"/>
  <c r="I107" i="31"/>
  <c r="I108" i="31" s="1"/>
  <c r="C101" i="31"/>
  <c r="F101" i="31" s="1"/>
  <c r="G101" i="31" s="1"/>
  <c r="H101" i="31" s="1"/>
  <c r="I101" i="31" s="1"/>
  <c r="J101" i="31" s="1"/>
  <c r="K101" i="31" s="1"/>
  <c r="L101" i="31" s="1"/>
  <c r="M101" i="31" s="1"/>
  <c r="W100" i="31"/>
  <c r="C100" i="31"/>
  <c r="E102" i="31"/>
  <c r="A100" i="31"/>
  <c r="E98" i="31"/>
  <c r="C98" i="31"/>
  <c r="W97" i="31"/>
  <c r="A97" i="31"/>
  <c r="E95" i="31"/>
  <c r="C95" i="31"/>
  <c r="D95" i="31" s="1"/>
  <c r="E94" i="31" s="1"/>
  <c r="W94" i="31"/>
  <c r="C94" i="31"/>
  <c r="A94" i="31"/>
  <c r="E92" i="31"/>
  <c r="C92" i="31"/>
  <c r="W91" i="31"/>
  <c r="A91" i="31"/>
  <c r="E89" i="31"/>
  <c r="C89" i="31"/>
  <c r="D89" i="31" s="1"/>
  <c r="E88" i="31" s="1"/>
  <c r="W88" i="31"/>
  <c r="C88" i="31"/>
  <c r="A88" i="31"/>
  <c r="E86" i="31"/>
  <c r="C86" i="31"/>
  <c r="W85" i="31"/>
  <c r="A85" i="31"/>
  <c r="E83" i="31"/>
  <c r="C83" i="31"/>
  <c r="D83" i="31" s="1"/>
  <c r="E82" i="31" s="1"/>
  <c r="W82" i="31"/>
  <c r="C82" i="31"/>
  <c r="A82" i="31"/>
  <c r="E80" i="31"/>
  <c r="C80" i="31"/>
  <c r="W79" i="31"/>
  <c r="A79" i="31"/>
  <c r="E77" i="31"/>
  <c r="C77" i="31"/>
  <c r="D77" i="31" s="1"/>
  <c r="E76" i="31" s="1"/>
  <c r="W76" i="31"/>
  <c r="C76" i="31"/>
  <c r="A76" i="31"/>
  <c r="E74" i="31"/>
  <c r="C74" i="31"/>
  <c r="W73" i="31"/>
  <c r="A73" i="31"/>
  <c r="E71" i="31"/>
  <c r="C71" i="31"/>
  <c r="D71" i="31" s="1"/>
  <c r="E70" i="31" s="1"/>
  <c r="W70" i="31"/>
  <c r="C70" i="31"/>
  <c r="A70" i="31"/>
  <c r="E68" i="31"/>
  <c r="C68" i="31"/>
  <c r="W67" i="31"/>
  <c r="A67" i="31"/>
  <c r="E65" i="31"/>
  <c r="C65" i="31"/>
  <c r="D65" i="31" s="1"/>
  <c r="E64" i="31" s="1"/>
  <c r="W64" i="31"/>
  <c r="C64" i="31"/>
  <c r="A64" i="31"/>
  <c r="C62" i="31"/>
  <c r="W61" i="31"/>
  <c r="A61" i="31"/>
  <c r="V60" i="31"/>
  <c r="I57" i="31"/>
  <c r="C51" i="31"/>
  <c r="F51" i="31" s="1"/>
  <c r="G51" i="31" s="1"/>
  <c r="H51" i="31" s="1"/>
  <c r="I51" i="31" s="1"/>
  <c r="J51" i="31" s="1"/>
  <c r="K51" i="31" s="1"/>
  <c r="L51" i="31" s="1"/>
  <c r="M51" i="31" s="1"/>
  <c r="W50" i="31"/>
  <c r="A50" i="31"/>
  <c r="E48" i="31"/>
  <c r="C48" i="31"/>
  <c r="D48" i="31" s="1"/>
  <c r="E47" i="31" s="1"/>
  <c r="W47" i="31"/>
  <c r="C47" i="31"/>
  <c r="A47" i="31"/>
  <c r="E45" i="31"/>
  <c r="C45" i="31"/>
  <c r="W44" i="31"/>
  <c r="A44" i="31"/>
  <c r="E42" i="31"/>
  <c r="C42" i="31"/>
  <c r="D42" i="31" s="1"/>
  <c r="E41" i="31" s="1"/>
  <c r="W41" i="31"/>
  <c r="C41" i="31"/>
  <c r="A41" i="31"/>
  <c r="E39" i="31"/>
  <c r="C39" i="31"/>
  <c r="W38" i="31"/>
  <c r="A38" i="31"/>
  <c r="E36" i="31"/>
  <c r="C36" i="31"/>
  <c r="D36" i="31" s="1"/>
  <c r="E35" i="31" s="1"/>
  <c r="W35" i="31"/>
  <c r="C35" i="31"/>
  <c r="A35" i="31"/>
  <c r="E33" i="31"/>
  <c r="C33" i="31"/>
  <c r="W32" i="31"/>
  <c r="A32" i="31"/>
  <c r="E30" i="31"/>
  <c r="C30" i="31"/>
  <c r="D30" i="31" s="1"/>
  <c r="E29" i="31" s="1"/>
  <c r="W29" i="31"/>
  <c r="C29" i="31"/>
  <c r="A29" i="31"/>
  <c r="E27" i="31"/>
  <c r="C27" i="31"/>
  <c r="W26" i="31"/>
  <c r="A26" i="31"/>
  <c r="E24" i="31"/>
  <c r="C24" i="31"/>
  <c r="D24" i="31" s="1"/>
  <c r="E23" i="31" s="1"/>
  <c r="W23" i="31"/>
  <c r="C23" i="31"/>
  <c r="A23" i="31"/>
  <c r="E21" i="31"/>
  <c r="C21" i="31"/>
  <c r="W20" i="31"/>
  <c r="A20" i="31"/>
  <c r="E18" i="31"/>
  <c r="C18" i="31"/>
  <c r="D18" i="31" s="1"/>
  <c r="E17" i="31" s="1"/>
  <c r="D17" i="31" s="1"/>
  <c r="E16" i="31" s="1"/>
  <c r="W17" i="31"/>
  <c r="C17" i="31"/>
  <c r="A17" i="31"/>
  <c r="E15" i="31"/>
  <c r="C15" i="31"/>
  <c r="D15" i="31" s="1"/>
  <c r="E14" i="31" s="1"/>
  <c r="W14" i="31"/>
  <c r="A14" i="31"/>
  <c r="E12" i="31"/>
  <c r="C12" i="31"/>
  <c r="D12" i="31" s="1"/>
  <c r="E11" i="31" s="1"/>
  <c r="W11" i="31"/>
  <c r="C11" i="31"/>
  <c r="E13" i="31"/>
  <c r="A11" i="31"/>
  <c r="V10" i="31"/>
  <c r="I7" i="31"/>
  <c r="I8" i="31" s="1"/>
  <c r="C151" i="27"/>
  <c r="F151" i="27" s="1"/>
  <c r="G151" i="27" s="1"/>
  <c r="H151" i="27" s="1"/>
  <c r="I151" i="27" s="1"/>
  <c r="J151" i="27" s="1"/>
  <c r="K151" i="27" s="1"/>
  <c r="L151" i="27" s="1"/>
  <c r="M151" i="27" s="1"/>
  <c r="W150" i="27"/>
  <c r="A150" i="27"/>
  <c r="C148" i="27"/>
  <c r="D148" i="27" s="1"/>
  <c r="E147" i="27" s="1"/>
  <c r="W147" i="27"/>
  <c r="C147" i="27"/>
  <c r="E149" i="27"/>
  <c r="A147" i="27"/>
  <c r="C145" i="27"/>
  <c r="W144" i="27"/>
  <c r="A144" i="27"/>
  <c r="C142" i="27"/>
  <c r="D142" i="27" s="1"/>
  <c r="E141" i="27" s="1"/>
  <c r="W141" i="27"/>
  <c r="C141" i="27"/>
  <c r="E143" i="27"/>
  <c r="A141" i="27"/>
  <c r="C139" i="27"/>
  <c r="W138" i="27"/>
  <c r="A138" i="27"/>
  <c r="C136" i="27"/>
  <c r="D136" i="27" s="1"/>
  <c r="E135" i="27" s="1"/>
  <c r="W135" i="27"/>
  <c r="C135" i="27"/>
  <c r="E137" i="27"/>
  <c r="A135" i="27"/>
  <c r="C133" i="27"/>
  <c r="W132" i="27"/>
  <c r="A132" i="27"/>
  <c r="C130" i="27"/>
  <c r="D130" i="27" s="1"/>
  <c r="E129" i="27" s="1"/>
  <c r="W129" i="27"/>
  <c r="C129" i="27"/>
  <c r="E131" i="27"/>
  <c r="A129" i="27"/>
  <c r="C127" i="27"/>
  <c r="W126" i="27"/>
  <c r="A126" i="27"/>
  <c r="C124" i="27"/>
  <c r="D124" i="27" s="1"/>
  <c r="E123" i="27" s="1"/>
  <c r="W123" i="27"/>
  <c r="C123" i="27"/>
  <c r="E125" i="27"/>
  <c r="A123" i="27"/>
  <c r="C121" i="27"/>
  <c r="W120" i="27"/>
  <c r="A120" i="27"/>
  <c r="C118" i="27"/>
  <c r="D118" i="27" s="1"/>
  <c r="E117" i="27" s="1"/>
  <c r="W117" i="27"/>
  <c r="C117" i="27"/>
  <c r="E119" i="27"/>
  <c r="A117" i="27"/>
  <c r="C115" i="27"/>
  <c r="W114" i="27"/>
  <c r="A114" i="27"/>
  <c r="C112" i="27"/>
  <c r="D112" i="27" s="1"/>
  <c r="E111" i="27" s="1"/>
  <c r="W111" i="27"/>
  <c r="C111" i="27"/>
  <c r="E113" i="27"/>
  <c r="A111" i="27"/>
  <c r="V110" i="27"/>
  <c r="I107" i="27"/>
  <c r="I108" i="27" s="1"/>
  <c r="C101" i="27"/>
  <c r="F101" i="27" s="1"/>
  <c r="G101" i="27" s="1"/>
  <c r="H101" i="27" s="1"/>
  <c r="I101" i="27" s="1"/>
  <c r="J101" i="27" s="1"/>
  <c r="K101" i="27" s="1"/>
  <c r="L101" i="27" s="1"/>
  <c r="M101" i="27" s="1"/>
  <c r="W100" i="27"/>
  <c r="C100" i="27"/>
  <c r="E102" i="27"/>
  <c r="A100" i="27"/>
  <c r="E98" i="27"/>
  <c r="C98" i="27"/>
  <c r="W97" i="27"/>
  <c r="A97" i="27"/>
  <c r="E95" i="27"/>
  <c r="C95" i="27"/>
  <c r="D95" i="27" s="1"/>
  <c r="E94" i="27" s="1"/>
  <c r="W94" i="27"/>
  <c r="C94" i="27"/>
  <c r="A94" i="27"/>
  <c r="E92" i="27"/>
  <c r="C92" i="27"/>
  <c r="W91" i="27"/>
  <c r="A91" i="27"/>
  <c r="E89" i="27"/>
  <c r="C89" i="27"/>
  <c r="D89" i="27" s="1"/>
  <c r="E88" i="27" s="1"/>
  <c r="W88" i="27"/>
  <c r="C88" i="27"/>
  <c r="A88" i="27"/>
  <c r="E86" i="27"/>
  <c r="C86" i="27"/>
  <c r="W85" i="27"/>
  <c r="A85" i="27"/>
  <c r="E83" i="27"/>
  <c r="C83" i="27"/>
  <c r="D83" i="27" s="1"/>
  <c r="E82" i="27" s="1"/>
  <c r="W82" i="27"/>
  <c r="C82" i="27"/>
  <c r="A82" i="27"/>
  <c r="E80" i="27"/>
  <c r="C80" i="27"/>
  <c r="W79" i="27"/>
  <c r="A79" i="27"/>
  <c r="E77" i="27"/>
  <c r="C77" i="27"/>
  <c r="D77" i="27" s="1"/>
  <c r="E76" i="27" s="1"/>
  <c r="W76" i="27"/>
  <c r="C76" i="27"/>
  <c r="A76" i="27"/>
  <c r="E74" i="27"/>
  <c r="C74" i="27"/>
  <c r="W73" i="27"/>
  <c r="A73" i="27"/>
  <c r="E71" i="27"/>
  <c r="C71" i="27"/>
  <c r="D71" i="27" s="1"/>
  <c r="E70" i="27" s="1"/>
  <c r="W70" i="27"/>
  <c r="C70" i="27"/>
  <c r="A70" i="27"/>
  <c r="E68" i="27"/>
  <c r="C68" i="27"/>
  <c r="W67" i="27"/>
  <c r="A67" i="27"/>
  <c r="E65" i="27"/>
  <c r="C65" i="27"/>
  <c r="D65" i="27" s="1"/>
  <c r="E64" i="27" s="1"/>
  <c r="W64" i="27"/>
  <c r="C64" i="27"/>
  <c r="A64" i="27"/>
  <c r="C62" i="27"/>
  <c r="W61" i="27"/>
  <c r="E63" i="27"/>
  <c r="A61" i="27"/>
  <c r="V60" i="27"/>
  <c r="I57" i="27"/>
  <c r="C51" i="27"/>
  <c r="F51" i="27" s="1"/>
  <c r="G51" i="27" s="1"/>
  <c r="H51" i="27" s="1"/>
  <c r="I51" i="27" s="1"/>
  <c r="J51" i="27" s="1"/>
  <c r="K51" i="27" s="1"/>
  <c r="L51" i="27" s="1"/>
  <c r="M51" i="27" s="1"/>
  <c r="W50" i="27"/>
  <c r="A50" i="27"/>
  <c r="E48" i="27"/>
  <c r="C48" i="27"/>
  <c r="D48" i="27" s="1"/>
  <c r="E47" i="27" s="1"/>
  <c r="W47" i="27"/>
  <c r="C47" i="27"/>
  <c r="A47" i="27"/>
  <c r="E45" i="27"/>
  <c r="C45" i="27"/>
  <c r="D45" i="27" s="1"/>
  <c r="E44" i="27" s="1"/>
  <c r="W44" i="27"/>
  <c r="C44" i="27"/>
  <c r="A44" i="27"/>
  <c r="E42" i="27"/>
  <c r="C42" i="27"/>
  <c r="D42" i="27" s="1"/>
  <c r="E41" i="27" s="1"/>
  <c r="W41" i="27"/>
  <c r="C41" i="27"/>
  <c r="A41" i="27"/>
  <c r="E39" i="27"/>
  <c r="C39" i="27"/>
  <c r="W38" i="27"/>
  <c r="C38" i="27"/>
  <c r="A38" i="27"/>
  <c r="E36" i="27"/>
  <c r="C36" i="27"/>
  <c r="D36" i="27" s="1"/>
  <c r="E35" i="27" s="1"/>
  <c r="W35" i="27"/>
  <c r="C35" i="27"/>
  <c r="A35" i="27"/>
  <c r="E33" i="27"/>
  <c r="C33" i="27"/>
  <c r="D33" i="27" s="1"/>
  <c r="E32" i="27" s="1"/>
  <c r="W32" i="27"/>
  <c r="C32" i="27"/>
  <c r="A32" i="27"/>
  <c r="E30" i="27"/>
  <c r="C30" i="27"/>
  <c r="D30" i="27" s="1"/>
  <c r="E29" i="27" s="1"/>
  <c r="W29" i="27"/>
  <c r="C29" i="27"/>
  <c r="A29" i="27"/>
  <c r="E27" i="27"/>
  <c r="C27" i="27"/>
  <c r="W26" i="27"/>
  <c r="A26" i="27"/>
  <c r="E24" i="27"/>
  <c r="C24" i="27"/>
  <c r="D24" i="27" s="1"/>
  <c r="E23" i="27" s="1"/>
  <c r="W23" i="27"/>
  <c r="C23" i="27"/>
  <c r="A23" i="27"/>
  <c r="E21" i="27"/>
  <c r="C21" i="27"/>
  <c r="D21" i="27" s="1"/>
  <c r="E20" i="27" s="1"/>
  <c r="W20" i="27"/>
  <c r="C20" i="27"/>
  <c r="A20" i="27"/>
  <c r="E18" i="27"/>
  <c r="C18" i="27"/>
  <c r="D18" i="27" s="1"/>
  <c r="E17" i="27" s="1"/>
  <c r="W17" i="27"/>
  <c r="C17" i="27"/>
  <c r="A17" i="27"/>
  <c r="E15" i="27"/>
  <c r="C15" i="27"/>
  <c r="W14" i="27"/>
  <c r="C14" i="27"/>
  <c r="A14" i="27"/>
  <c r="E12" i="27"/>
  <c r="C12" i="27"/>
  <c r="D12" i="27" s="1"/>
  <c r="E11" i="27" s="1"/>
  <c r="W11" i="27"/>
  <c r="C11" i="27"/>
  <c r="E13" i="27"/>
  <c r="A11" i="27"/>
  <c r="V10" i="27"/>
  <c r="I7" i="27"/>
  <c r="I8" i="27" s="1"/>
  <c r="J7" i="31" l="1"/>
  <c r="J8" i="31" s="1"/>
  <c r="J7" i="24"/>
  <c r="K7" i="24" s="1"/>
  <c r="D21" i="24"/>
  <c r="E20" i="24" s="1"/>
  <c r="D20" i="24" s="1"/>
  <c r="E19" i="24" s="1"/>
  <c r="D94" i="24"/>
  <c r="E93" i="24" s="1"/>
  <c r="J107" i="31"/>
  <c r="K107" i="31" s="1"/>
  <c r="D147" i="27"/>
  <c r="D123" i="31"/>
  <c r="D17" i="24"/>
  <c r="E16" i="24" s="1"/>
  <c r="J108" i="24"/>
  <c r="K107" i="24"/>
  <c r="L107" i="24" s="1"/>
  <c r="I108" i="24"/>
  <c r="D101" i="24"/>
  <c r="E100" i="24" s="1"/>
  <c r="D100" i="24" s="1"/>
  <c r="E99" i="24" s="1"/>
  <c r="D88" i="24"/>
  <c r="E87" i="24" s="1"/>
  <c r="D41" i="24"/>
  <c r="E40" i="24" s="1"/>
  <c r="D29" i="24"/>
  <c r="E28" i="24" s="1"/>
  <c r="D23" i="24"/>
  <c r="E22" i="24" s="1"/>
  <c r="D147" i="24"/>
  <c r="D123" i="24"/>
  <c r="D129" i="24"/>
  <c r="D135" i="24"/>
  <c r="D64" i="24"/>
  <c r="D129" i="31"/>
  <c r="D141" i="31"/>
  <c r="D147" i="31"/>
  <c r="D88" i="31"/>
  <c r="E87" i="31" s="1"/>
  <c r="D64" i="31"/>
  <c r="D101" i="31"/>
  <c r="E100" i="31" s="1"/>
  <c r="D100" i="31" s="1"/>
  <c r="E99" i="31" s="1"/>
  <c r="D29" i="31"/>
  <c r="E28" i="31" s="1"/>
  <c r="D23" i="31"/>
  <c r="E22" i="31" s="1"/>
  <c r="D117" i="24"/>
  <c r="D141" i="24"/>
  <c r="D76" i="24"/>
  <c r="E75" i="24" s="1"/>
  <c r="D82" i="24"/>
  <c r="E81" i="24" s="1"/>
  <c r="D70" i="24"/>
  <c r="E69" i="24" s="1"/>
  <c r="D44" i="24"/>
  <c r="E43" i="24" s="1"/>
  <c r="D35" i="24"/>
  <c r="E34" i="24" s="1"/>
  <c r="D117" i="31"/>
  <c r="D135" i="31"/>
  <c r="D70" i="31"/>
  <c r="E69" i="31" s="1"/>
  <c r="D94" i="31"/>
  <c r="E93" i="31" s="1"/>
  <c r="D76" i="31"/>
  <c r="E75" i="31" s="1"/>
  <c r="D82" i="31"/>
  <c r="E81" i="31" s="1"/>
  <c r="D47" i="31"/>
  <c r="E46" i="31" s="1"/>
  <c r="D41" i="31"/>
  <c r="E40" i="31" s="1"/>
  <c r="D35" i="31"/>
  <c r="E34" i="31" s="1"/>
  <c r="J7" i="27"/>
  <c r="K7" i="27" s="1"/>
  <c r="L7" i="27" s="1"/>
  <c r="D141" i="27"/>
  <c r="J107" i="27"/>
  <c r="K107" i="27" s="1"/>
  <c r="L107" i="27" s="1"/>
  <c r="D82" i="27"/>
  <c r="E81" i="27" s="1"/>
  <c r="D29" i="27"/>
  <c r="E28" i="27" s="1"/>
  <c r="D135" i="27"/>
  <c r="D101" i="27"/>
  <c r="E100" i="27" s="1"/>
  <c r="D100" i="27" s="1"/>
  <c r="E99" i="27" s="1"/>
  <c r="D94" i="27"/>
  <c r="E93" i="27" s="1"/>
  <c r="D47" i="27"/>
  <c r="E46" i="27" s="1"/>
  <c r="D41" i="27"/>
  <c r="E40" i="27" s="1"/>
  <c r="D123" i="27"/>
  <c r="D117" i="27"/>
  <c r="D129" i="27"/>
  <c r="D70" i="27"/>
  <c r="E69" i="27" s="1"/>
  <c r="D88" i="27"/>
  <c r="E87" i="27" s="1"/>
  <c r="D64" i="27"/>
  <c r="D76" i="27"/>
  <c r="E75" i="27" s="1"/>
  <c r="D20" i="27"/>
  <c r="E19" i="27" s="1"/>
  <c r="D44" i="27"/>
  <c r="E43" i="27" s="1"/>
  <c r="D35" i="27"/>
  <c r="E34" i="27" s="1"/>
  <c r="D23" i="27"/>
  <c r="E22" i="27" s="1"/>
  <c r="D17" i="27"/>
  <c r="E16" i="27" s="1"/>
  <c r="D47" i="24"/>
  <c r="E46" i="24" s="1"/>
  <c r="D111" i="24"/>
  <c r="K8" i="24"/>
  <c r="L7" i="24"/>
  <c r="D11" i="24"/>
  <c r="D32" i="24"/>
  <c r="E31" i="24" s="1"/>
  <c r="D62" i="24"/>
  <c r="E61" i="24" s="1"/>
  <c r="C61" i="24"/>
  <c r="E62" i="24"/>
  <c r="D86" i="24"/>
  <c r="E85" i="24" s="1"/>
  <c r="C85" i="24"/>
  <c r="E127" i="24"/>
  <c r="D127" i="24"/>
  <c r="E126" i="24" s="1"/>
  <c r="C126" i="24"/>
  <c r="E151" i="24"/>
  <c r="D151" i="24"/>
  <c r="E150" i="24" s="1"/>
  <c r="C150" i="24"/>
  <c r="C14" i="24"/>
  <c r="D14" i="24" s="1"/>
  <c r="C38" i="24"/>
  <c r="D38" i="24" s="1"/>
  <c r="E37" i="24" s="1"/>
  <c r="J57" i="24"/>
  <c r="I58" i="24"/>
  <c r="E63" i="24"/>
  <c r="D80" i="24"/>
  <c r="E79" i="24" s="1"/>
  <c r="C79" i="24"/>
  <c r="D121" i="24"/>
  <c r="E120" i="24" s="1"/>
  <c r="C120" i="24"/>
  <c r="E121" i="24"/>
  <c r="E133" i="24"/>
  <c r="D133" i="24"/>
  <c r="E132" i="24" s="1"/>
  <c r="C132" i="24"/>
  <c r="E152" i="24"/>
  <c r="J8" i="24"/>
  <c r="D74" i="24"/>
  <c r="E73" i="24" s="1"/>
  <c r="C73" i="24"/>
  <c r="D98" i="24"/>
  <c r="E97" i="24" s="1"/>
  <c r="C97" i="24"/>
  <c r="D115" i="24"/>
  <c r="E114" i="24" s="1"/>
  <c r="C114" i="24"/>
  <c r="E115" i="24"/>
  <c r="E139" i="24"/>
  <c r="D139" i="24"/>
  <c r="E138" i="24" s="1"/>
  <c r="C138" i="24"/>
  <c r="D51" i="24"/>
  <c r="E50" i="24" s="1"/>
  <c r="E53" i="24" s="1"/>
  <c r="C50" i="24"/>
  <c r="F52" i="24"/>
  <c r="E51" i="24"/>
  <c r="C26" i="24"/>
  <c r="D26" i="24" s="1"/>
  <c r="E25" i="24" s="1"/>
  <c r="E52" i="24"/>
  <c r="D68" i="24"/>
  <c r="E67" i="24" s="1"/>
  <c r="C67" i="24"/>
  <c r="D92" i="24"/>
  <c r="E91" i="24" s="1"/>
  <c r="C91" i="24"/>
  <c r="E116" i="24"/>
  <c r="E128" i="24"/>
  <c r="E145" i="24"/>
  <c r="D145" i="24"/>
  <c r="E144" i="24" s="1"/>
  <c r="C144" i="24"/>
  <c r="K108" i="31"/>
  <c r="L107" i="31"/>
  <c r="D39" i="31"/>
  <c r="E38" i="31" s="1"/>
  <c r="C38" i="31"/>
  <c r="D62" i="31"/>
  <c r="E61" i="31" s="1"/>
  <c r="C61" i="31"/>
  <c r="E62" i="31"/>
  <c r="D86" i="31"/>
  <c r="E85" i="31" s="1"/>
  <c r="C85" i="31"/>
  <c r="E115" i="31"/>
  <c r="D115" i="31"/>
  <c r="E114" i="31" s="1"/>
  <c r="C114" i="31"/>
  <c r="E121" i="31"/>
  <c r="D121" i="31"/>
  <c r="E120" i="31" s="1"/>
  <c r="C120" i="31"/>
  <c r="E127" i="31"/>
  <c r="D127" i="31"/>
  <c r="E126" i="31" s="1"/>
  <c r="C126" i="31"/>
  <c r="E151" i="31"/>
  <c r="D151" i="31"/>
  <c r="E150" i="31" s="1"/>
  <c r="F152" i="31"/>
  <c r="C150" i="31"/>
  <c r="K7" i="31"/>
  <c r="D33" i="31"/>
  <c r="E32" i="31" s="1"/>
  <c r="C32" i="31"/>
  <c r="I58" i="31"/>
  <c r="J57" i="31"/>
  <c r="E63" i="31"/>
  <c r="D80" i="31"/>
  <c r="E79" i="31" s="1"/>
  <c r="C79" i="31"/>
  <c r="J108" i="31"/>
  <c r="E145" i="31"/>
  <c r="D145" i="31"/>
  <c r="E144" i="31" s="1"/>
  <c r="C144" i="31"/>
  <c r="E152" i="31"/>
  <c r="D98" i="31"/>
  <c r="E97" i="31" s="1"/>
  <c r="C97" i="31"/>
  <c r="E139" i="31"/>
  <c r="D139" i="31"/>
  <c r="E138" i="31" s="1"/>
  <c r="C138" i="31"/>
  <c r="D27" i="31"/>
  <c r="E26" i="31" s="1"/>
  <c r="C26" i="31"/>
  <c r="D51" i="31"/>
  <c r="E50" i="31" s="1"/>
  <c r="F52" i="31"/>
  <c r="C50" i="31"/>
  <c r="E51" i="31"/>
  <c r="D74" i="31"/>
  <c r="E73" i="31" s="1"/>
  <c r="C73" i="31"/>
  <c r="D11" i="31"/>
  <c r="C14" i="31"/>
  <c r="D14" i="31" s="1"/>
  <c r="D21" i="31"/>
  <c r="E20" i="31" s="1"/>
  <c r="C20" i="31"/>
  <c r="D45" i="31"/>
  <c r="E44" i="31" s="1"/>
  <c r="C44" i="31"/>
  <c r="E52" i="31"/>
  <c r="D68" i="31"/>
  <c r="E67" i="31" s="1"/>
  <c r="C67" i="31"/>
  <c r="D92" i="31"/>
  <c r="E91" i="31" s="1"/>
  <c r="C91" i="31"/>
  <c r="D111" i="31"/>
  <c r="E116" i="31"/>
  <c r="E122" i="31"/>
  <c r="E128" i="31"/>
  <c r="E133" i="31"/>
  <c r="D133" i="31"/>
  <c r="E132" i="31" s="1"/>
  <c r="C132" i="31"/>
  <c r="E101" i="31"/>
  <c r="E112" i="31"/>
  <c r="E118" i="31"/>
  <c r="E124" i="31"/>
  <c r="E130" i="31"/>
  <c r="E136" i="31"/>
  <c r="E142" i="31"/>
  <c r="E148" i="31"/>
  <c r="E131" i="31"/>
  <c r="E137" i="31"/>
  <c r="E143" i="31"/>
  <c r="E149" i="31"/>
  <c r="K8" i="27"/>
  <c r="D11" i="27"/>
  <c r="K108" i="27"/>
  <c r="D86" i="27"/>
  <c r="E85" i="27" s="1"/>
  <c r="C85" i="27"/>
  <c r="D115" i="27"/>
  <c r="E114" i="27" s="1"/>
  <c r="C114" i="27"/>
  <c r="E115" i="27"/>
  <c r="D127" i="27"/>
  <c r="E126" i="27" s="1"/>
  <c r="C126" i="27"/>
  <c r="E127" i="27"/>
  <c r="E139" i="27"/>
  <c r="D139" i="27"/>
  <c r="E138" i="27" s="1"/>
  <c r="C138" i="27"/>
  <c r="E145" i="27"/>
  <c r="D145" i="27"/>
  <c r="E144" i="27" s="1"/>
  <c r="C144" i="27"/>
  <c r="E151" i="27"/>
  <c r="D151" i="27"/>
  <c r="E150" i="27" s="1"/>
  <c r="F152" i="27"/>
  <c r="C150" i="27"/>
  <c r="I58" i="27"/>
  <c r="J57" i="27"/>
  <c r="D80" i="27"/>
  <c r="E79" i="27" s="1"/>
  <c r="C79" i="27"/>
  <c r="J108" i="27"/>
  <c r="E116" i="27"/>
  <c r="E128" i="27"/>
  <c r="E152" i="27"/>
  <c r="D15" i="27"/>
  <c r="E14" i="27" s="1"/>
  <c r="D14" i="27" s="1"/>
  <c r="D39" i="27"/>
  <c r="E38" i="27" s="1"/>
  <c r="D38" i="27" s="1"/>
  <c r="E37" i="27" s="1"/>
  <c r="D121" i="27"/>
  <c r="E120" i="27" s="1"/>
  <c r="C120" i="27"/>
  <c r="E121" i="27"/>
  <c r="D133" i="27"/>
  <c r="E132" i="27" s="1"/>
  <c r="C132" i="27"/>
  <c r="E133" i="27"/>
  <c r="D32" i="27"/>
  <c r="E31" i="27" s="1"/>
  <c r="D62" i="27"/>
  <c r="E61" i="27" s="1"/>
  <c r="C61" i="27"/>
  <c r="E62" i="27"/>
  <c r="J8" i="27"/>
  <c r="D27" i="27"/>
  <c r="E26" i="27" s="1"/>
  <c r="D51" i="27"/>
  <c r="E50" i="27" s="1"/>
  <c r="C50" i="27"/>
  <c r="E51" i="27"/>
  <c r="D74" i="27"/>
  <c r="E73" i="27" s="1"/>
  <c r="C73" i="27"/>
  <c r="D98" i="27"/>
  <c r="E97" i="27" s="1"/>
  <c r="C97" i="27"/>
  <c r="C26" i="27"/>
  <c r="E52" i="27"/>
  <c r="D68" i="27"/>
  <c r="E67" i="27" s="1"/>
  <c r="C67" i="27"/>
  <c r="D92" i="27"/>
  <c r="E91" i="27" s="1"/>
  <c r="C91" i="27"/>
  <c r="D111" i="27"/>
  <c r="E122" i="27"/>
  <c r="E134" i="27"/>
  <c r="E140" i="27"/>
  <c r="E146" i="27"/>
  <c r="E101" i="27"/>
  <c r="E112" i="27"/>
  <c r="E118" i="27"/>
  <c r="E124" i="27"/>
  <c r="E130" i="27"/>
  <c r="E136" i="27"/>
  <c r="E142" i="27"/>
  <c r="E148" i="27"/>
  <c r="C151" i="30"/>
  <c r="C148" i="30"/>
  <c r="C145" i="30"/>
  <c r="C142" i="30"/>
  <c r="C139" i="30"/>
  <c r="C136" i="30"/>
  <c r="C133" i="30"/>
  <c r="C130" i="30"/>
  <c r="C127" i="30"/>
  <c r="C124" i="30"/>
  <c r="C121" i="30"/>
  <c r="C118" i="30"/>
  <c r="C115" i="30"/>
  <c r="C112" i="30"/>
  <c r="C101" i="30"/>
  <c r="C98" i="30"/>
  <c r="C95" i="30"/>
  <c r="C92" i="30"/>
  <c r="C89" i="30"/>
  <c r="C86" i="30"/>
  <c r="C83" i="30"/>
  <c r="C80" i="30"/>
  <c r="C77" i="30"/>
  <c r="C74" i="30"/>
  <c r="C71" i="30"/>
  <c r="C68" i="30"/>
  <c r="C65" i="30"/>
  <c r="C62" i="30"/>
  <c r="C51" i="30"/>
  <c r="C48" i="30"/>
  <c r="C45" i="30"/>
  <c r="C42" i="30"/>
  <c r="C39" i="30"/>
  <c r="C36" i="30"/>
  <c r="C33" i="30"/>
  <c r="C30" i="30"/>
  <c r="C27" i="30"/>
  <c r="C24" i="30"/>
  <c r="C21" i="30"/>
  <c r="C18" i="30"/>
  <c r="C15" i="30"/>
  <c r="C12" i="30"/>
  <c r="F52" i="27" l="1"/>
  <c r="G52" i="27" s="1"/>
  <c r="H52" i="27" s="1"/>
  <c r="D50" i="31"/>
  <c r="E49" i="31" s="1"/>
  <c r="K108" i="24"/>
  <c r="F152" i="24"/>
  <c r="G152" i="24" s="1"/>
  <c r="D97" i="24"/>
  <c r="E96" i="24" s="1"/>
  <c r="D91" i="24"/>
  <c r="E90" i="24" s="1"/>
  <c r="D138" i="24"/>
  <c r="D114" i="24"/>
  <c r="D67" i="24"/>
  <c r="E66" i="24" s="1"/>
  <c r="D73" i="24"/>
  <c r="E72" i="24" s="1"/>
  <c r="D50" i="24"/>
  <c r="E49" i="24" s="1"/>
  <c r="D132" i="31"/>
  <c r="D97" i="31"/>
  <c r="E96" i="31" s="1"/>
  <c r="D85" i="31"/>
  <c r="E84" i="31" s="1"/>
  <c r="D44" i="31"/>
  <c r="E43" i="31" s="1"/>
  <c r="D20" i="31"/>
  <c r="E19" i="31" s="1"/>
  <c r="D144" i="24"/>
  <c r="E153" i="24"/>
  <c r="E153" i="31"/>
  <c r="C153" i="31"/>
  <c r="D120" i="31"/>
  <c r="D73" i="31"/>
  <c r="E72" i="31" s="1"/>
  <c r="D32" i="31"/>
  <c r="E31" i="31" s="1"/>
  <c r="D26" i="31"/>
  <c r="E25" i="31" s="1"/>
  <c r="E53" i="31"/>
  <c r="D85" i="27"/>
  <c r="E84" i="27" s="1"/>
  <c r="D150" i="27"/>
  <c r="D144" i="27"/>
  <c r="D132" i="27"/>
  <c r="D79" i="27"/>
  <c r="E78" i="27" s="1"/>
  <c r="D26" i="27"/>
  <c r="E25" i="27" s="1"/>
  <c r="D114" i="27"/>
  <c r="E153" i="27"/>
  <c r="C153" i="24"/>
  <c r="G52" i="24"/>
  <c r="D132" i="24"/>
  <c r="D120" i="24"/>
  <c r="L108" i="24"/>
  <c r="M107" i="24"/>
  <c r="M108" i="24" s="1"/>
  <c r="D150" i="24"/>
  <c r="D126" i="24"/>
  <c r="D61" i="24"/>
  <c r="C103" i="24"/>
  <c r="L8" i="24"/>
  <c r="M7" i="24"/>
  <c r="M8" i="24" s="1"/>
  <c r="C53" i="24"/>
  <c r="D79" i="24"/>
  <c r="E78" i="24" s="1"/>
  <c r="J58" i="24"/>
  <c r="K57" i="24"/>
  <c r="D85" i="24"/>
  <c r="E84" i="24" s="1"/>
  <c r="E103" i="24"/>
  <c r="G52" i="31"/>
  <c r="H52" i="31" s="1"/>
  <c r="C53" i="31"/>
  <c r="J58" i="31"/>
  <c r="K57" i="31"/>
  <c r="L7" i="31"/>
  <c r="K8" i="31"/>
  <c r="D91" i="31"/>
  <c r="E90" i="31" s="1"/>
  <c r="D138" i="31"/>
  <c r="D144" i="31"/>
  <c r="D79" i="31"/>
  <c r="E78" i="31" s="1"/>
  <c r="D150" i="31"/>
  <c r="D126" i="31"/>
  <c r="D61" i="31"/>
  <c r="C103" i="31"/>
  <c r="L108" i="31"/>
  <c r="M107" i="31"/>
  <c r="M108" i="31" s="1"/>
  <c r="G152" i="31"/>
  <c r="H152" i="31" s="1"/>
  <c r="E103" i="31"/>
  <c r="D67" i="31"/>
  <c r="E66" i="31" s="1"/>
  <c r="D114" i="31"/>
  <c r="D38" i="31"/>
  <c r="E37" i="31" s="1"/>
  <c r="D61" i="27"/>
  <c r="C103" i="27"/>
  <c r="J58" i="27"/>
  <c r="K57" i="27"/>
  <c r="E53" i="27"/>
  <c r="D67" i="27"/>
  <c r="E66" i="27" s="1"/>
  <c r="D97" i="27"/>
  <c r="E96" i="27" s="1"/>
  <c r="E103" i="27"/>
  <c r="C53" i="27"/>
  <c r="D138" i="27"/>
  <c r="D126" i="27"/>
  <c r="L8" i="27"/>
  <c r="M7" i="27"/>
  <c r="M8" i="27" s="1"/>
  <c r="L108" i="27"/>
  <c r="M107" i="27"/>
  <c r="M108" i="27" s="1"/>
  <c r="D50" i="27"/>
  <c r="E49" i="27" s="1"/>
  <c r="C153" i="27"/>
  <c r="D91" i="27"/>
  <c r="E90" i="27" s="1"/>
  <c r="D73" i="27"/>
  <c r="E72" i="27" s="1"/>
  <c r="D120" i="27"/>
  <c r="G152" i="27"/>
  <c r="D53" i="24" l="1"/>
  <c r="D153" i="31"/>
  <c r="D153" i="24"/>
  <c r="D103" i="31"/>
  <c r="D153" i="27"/>
  <c r="I52" i="27"/>
  <c r="J52" i="27" s="1"/>
  <c r="K52" i="27" s="1"/>
  <c r="L57" i="24"/>
  <c r="F102" i="24"/>
  <c r="K58" i="24"/>
  <c r="H152" i="24"/>
  <c r="D103" i="24"/>
  <c r="H52" i="24"/>
  <c r="F102" i="31"/>
  <c r="L57" i="31"/>
  <c r="K58" i="31"/>
  <c r="I52" i="31"/>
  <c r="J52" i="31" s="1"/>
  <c r="D53" i="31"/>
  <c r="L8" i="31"/>
  <c r="M7" i="31"/>
  <c r="M8" i="31" s="1"/>
  <c r="I152" i="31"/>
  <c r="J152" i="31" s="1"/>
  <c r="D53" i="27"/>
  <c r="D103" i="27"/>
  <c r="H152" i="27"/>
  <c r="F102" i="27"/>
  <c r="L57" i="27"/>
  <c r="K58" i="27"/>
  <c r="V110" i="30"/>
  <c r="V60" i="30"/>
  <c r="V10" i="30"/>
  <c r="K152" i="31" l="1"/>
  <c r="L152" i="31" s="1"/>
  <c r="L52" i="27"/>
  <c r="M52" i="27" s="1"/>
  <c r="I52" i="24"/>
  <c r="I152" i="24"/>
  <c r="J152" i="24" s="1"/>
  <c r="G102" i="24"/>
  <c r="M57" i="24"/>
  <c r="M58" i="24" s="1"/>
  <c r="L58" i="24"/>
  <c r="M57" i="31"/>
  <c r="M58" i="31" s="1"/>
  <c r="L58" i="31"/>
  <c r="G102" i="31"/>
  <c r="H102" i="31" s="1"/>
  <c r="K52" i="31"/>
  <c r="L52" i="31" s="1"/>
  <c r="G102" i="27"/>
  <c r="H102" i="27" s="1"/>
  <c r="M57" i="27"/>
  <c r="M58" i="27" s="1"/>
  <c r="L58" i="27"/>
  <c r="I152" i="27"/>
  <c r="V110" i="23"/>
  <c r="V60" i="23"/>
  <c r="V10" i="23"/>
  <c r="V110" i="13"/>
  <c r="V60" i="13"/>
  <c r="V10" i="13"/>
  <c r="V110" i="8"/>
  <c r="V60" i="8"/>
  <c r="V10" i="8"/>
  <c r="V110" i="7"/>
  <c r="V60" i="7"/>
  <c r="V10" i="7"/>
  <c r="M152" i="31" l="1"/>
  <c r="J52" i="24"/>
  <c r="K152" i="24"/>
  <c r="H102" i="24"/>
  <c r="I102" i="31"/>
  <c r="M52" i="31"/>
  <c r="I102" i="27"/>
  <c r="J152" i="27"/>
  <c r="B50" i="30"/>
  <c r="D51" i="30" s="1"/>
  <c r="B47" i="30"/>
  <c r="D48" i="30" s="1"/>
  <c r="B44" i="30"/>
  <c r="D45" i="30" s="1"/>
  <c r="B41" i="30"/>
  <c r="D42" i="30" s="1"/>
  <c r="B38" i="30"/>
  <c r="D39" i="30" s="1"/>
  <c r="B35" i="30"/>
  <c r="D36" i="30" s="1"/>
  <c r="B32" i="30"/>
  <c r="D33" i="30" s="1"/>
  <c r="B29" i="30"/>
  <c r="D30" i="30" s="1"/>
  <c r="B26" i="30"/>
  <c r="D27" i="30" s="1"/>
  <c r="B23" i="30"/>
  <c r="D24" i="30" s="1"/>
  <c r="B20" i="30"/>
  <c r="D21" i="30" s="1"/>
  <c r="B17" i="30"/>
  <c r="D18" i="30" s="1"/>
  <c r="B14" i="30"/>
  <c r="D15" i="30" s="1"/>
  <c r="B11" i="30"/>
  <c r="D12" i="30" s="1"/>
  <c r="B100" i="30"/>
  <c r="D101" i="30" s="1"/>
  <c r="B97" i="30"/>
  <c r="D98" i="30" s="1"/>
  <c r="B94" i="30"/>
  <c r="D95" i="30" s="1"/>
  <c r="B91" i="30"/>
  <c r="D92" i="30" s="1"/>
  <c r="B88" i="30"/>
  <c r="D89" i="30" s="1"/>
  <c r="B85" i="30"/>
  <c r="D86" i="30" s="1"/>
  <c r="B82" i="30"/>
  <c r="D83" i="30" s="1"/>
  <c r="B79" i="30"/>
  <c r="D80" i="30" s="1"/>
  <c r="B76" i="30"/>
  <c r="D77" i="30" s="1"/>
  <c r="B73" i="30"/>
  <c r="D74" i="30" s="1"/>
  <c r="B70" i="30"/>
  <c r="D71" i="30" s="1"/>
  <c r="B67" i="30"/>
  <c r="D68" i="30" s="1"/>
  <c r="B64" i="30"/>
  <c r="D65" i="30" s="1"/>
  <c r="B61" i="30"/>
  <c r="D62" i="30" s="1"/>
  <c r="B150" i="30"/>
  <c r="D151" i="30" s="1"/>
  <c r="B147" i="30"/>
  <c r="D148" i="30" s="1"/>
  <c r="B144" i="30"/>
  <c r="D145" i="30" s="1"/>
  <c r="B141" i="30"/>
  <c r="D142" i="30" s="1"/>
  <c r="B138" i="30"/>
  <c r="D139" i="30" s="1"/>
  <c r="B135" i="30"/>
  <c r="D136" i="30" s="1"/>
  <c r="B132" i="30"/>
  <c r="D133" i="30" s="1"/>
  <c r="B129" i="30"/>
  <c r="D130" i="30" s="1"/>
  <c r="B126" i="30"/>
  <c r="D127" i="30" s="1"/>
  <c r="B123" i="30"/>
  <c r="D124" i="30" s="1"/>
  <c r="B120" i="30"/>
  <c r="D121" i="30" s="1"/>
  <c r="B117" i="30"/>
  <c r="D118" i="30" s="1"/>
  <c r="B114" i="30"/>
  <c r="D115" i="30" s="1"/>
  <c r="B111" i="30"/>
  <c r="D112" i="30" s="1"/>
  <c r="L152" i="24" l="1"/>
  <c r="M152" i="24" s="1"/>
  <c r="K52" i="24"/>
  <c r="L52" i="24" s="1"/>
  <c r="M52" i="24" s="1"/>
  <c r="I102" i="24"/>
  <c r="J102" i="24" s="1"/>
  <c r="J102" i="31"/>
  <c r="K102" i="31" s="1"/>
  <c r="J102" i="27"/>
  <c r="K152" i="27"/>
  <c r="L152" i="27" s="1"/>
  <c r="F151" i="30"/>
  <c r="G151" i="30" s="1"/>
  <c r="H151" i="30" s="1"/>
  <c r="I151" i="30" s="1"/>
  <c r="J151" i="30" s="1"/>
  <c r="K151" i="30" s="1"/>
  <c r="L151" i="30" s="1"/>
  <c r="M151" i="30" s="1"/>
  <c r="W150" i="30"/>
  <c r="E151" i="30"/>
  <c r="A150" i="30"/>
  <c r="E147" i="30"/>
  <c r="W147" i="30"/>
  <c r="C147" i="30"/>
  <c r="A147" i="30"/>
  <c r="W144" i="30"/>
  <c r="E146" i="30"/>
  <c r="A144" i="30"/>
  <c r="E141" i="30"/>
  <c r="W141" i="30"/>
  <c r="C141" i="30"/>
  <c r="A141" i="30"/>
  <c r="E140" i="30"/>
  <c r="W138" i="30"/>
  <c r="A138" i="30"/>
  <c r="E135" i="30"/>
  <c r="W135" i="30"/>
  <c r="C135" i="30"/>
  <c r="A135" i="30"/>
  <c r="W132" i="30"/>
  <c r="A132" i="30"/>
  <c r="E129" i="30"/>
  <c r="W129" i="30"/>
  <c r="C129" i="30"/>
  <c r="A129" i="30"/>
  <c r="E128" i="30"/>
  <c r="W126" i="30"/>
  <c r="A126" i="30"/>
  <c r="E123" i="30"/>
  <c r="W123" i="30"/>
  <c r="C123" i="30"/>
  <c r="E125" i="30"/>
  <c r="A123" i="30"/>
  <c r="E122" i="30"/>
  <c r="W120" i="30"/>
  <c r="A120" i="30"/>
  <c r="E117" i="30"/>
  <c r="W117" i="30"/>
  <c r="C117" i="30"/>
  <c r="E119" i="30"/>
  <c r="A117" i="30"/>
  <c r="E116" i="30"/>
  <c r="W114" i="30"/>
  <c r="A114" i="30"/>
  <c r="E111" i="30"/>
  <c r="W111" i="30"/>
  <c r="C111" i="30"/>
  <c r="E113" i="30"/>
  <c r="A111" i="30"/>
  <c r="I107" i="30"/>
  <c r="I108" i="30" s="1"/>
  <c r="F101" i="30"/>
  <c r="G101" i="30" s="1"/>
  <c r="H101" i="30" s="1"/>
  <c r="I101" i="30" s="1"/>
  <c r="J101" i="30" s="1"/>
  <c r="K101" i="30" s="1"/>
  <c r="L101" i="30" s="1"/>
  <c r="M101" i="30" s="1"/>
  <c r="W100" i="30"/>
  <c r="C100" i="30"/>
  <c r="E102" i="30"/>
  <c r="A100" i="30"/>
  <c r="E98" i="30"/>
  <c r="E97" i="30"/>
  <c r="W97" i="30"/>
  <c r="C97" i="30"/>
  <c r="A97" i="30"/>
  <c r="E95" i="30"/>
  <c r="E94" i="30"/>
  <c r="W94" i="30"/>
  <c r="C94" i="30"/>
  <c r="A94" i="30"/>
  <c r="E92" i="30"/>
  <c r="E91" i="30"/>
  <c r="W91" i="30"/>
  <c r="C91" i="30"/>
  <c r="A91" i="30"/>
  <c r="E89" i="30"/>
  <c r="E88" i="30"/>
  <c r="W88" i="30"/>
  <c r="C88" i="30"/>
  <c r="A88" i="30"/>
  <c r="E86" i="30"/>
  <c r="E85" i="30"/>
  <c r="W85" i="30"/>
  <c r="C85" i="30"/>
  <c r="A85" i="30"/>
  <c r="E83" i="30"/>
  <c r="E82" i="30"/>
  <c r="W82" i="30"/>
  <c r="C82" i="30"/>
  <c r="A82" i="30"/>
  <c r="E80" i="30"/>
  <c r="E79" i="30"/>
  <c r="W79" i="30"/>
  <c r="C79" i="30"/>
  <c r="A79" i="30"/>
  <c r="E77" i="30"/>
  <c r="E76" i="30"/>
  <c r="W76" i="30"/>
  <c r="C76" i="30"/>
  <c r="A76" i="30"/>
  <c r="E74" i="30"/>
  <c r="E73" i="30"/>
  <c r="W73" i="30"/>
  <c r="C73" i="30"/>
  <c r="A73" i="30"/>
  <c r="E71" i="30"/>
  <c r="E70" i="30"/>
  <c r="W70" i="30"/>
  <c r="C70" i="30"/>
  <c r="A70" i="30"/>
  <c r="E68" i="30"/>
  <c r="E67" i="30"/>
  <c r="W67" i="30"/>
  <c r="C67" i="30"/>
  <c r="A67" i="30"/>
  <c r="E65" i="30"/>
  <c r="E64" i="30"/>
  <c r="W64" i="30"/>
  <c r="A64" i="30"/>
  <c r="E62" i="30"/>
  <c r="E61" i="30"/>
  <c r="W61" i="30"/>
  <c r="C61" i="30"/>
  <c r="E63" i="30"/>
  <c r="A61" i="30"/>
  <c r="I57" i="30"/>
  <c r="I58" i="30" s="1"/>
  <c r="F51" i="30"/>
  <c r="G51" i="30" s="1"/>
  <c r="H51" i="30" s="1"/>
  <c r="I51" i="30" s="1"/>
  <c r="J51" i="30" s="1"/>
  <c r="K51" i="30" s="1"/>
  <c r="L51" i="30" s="1"/>
  <c r="M51" i="30" s="1"/>
  <c r="W50" i="30"/>
  <c r="C50" i="30"/>
  <c r="E51" i="30"/>
  <c r="A50" i="30"/>
  <c r="E48" i="30"/>
  <c r="W47" i="30"/>
  <c r="C47" i="30"/>
  <c r="A47" i="30"/>
  <c r="E45" i="30"/>
  <c r="E44" i="30"/>
  <c r="W44" i="30"/>
  <c r="C44" i="30"/>
  <c r="A44" i="30"/>
  <c r="E42" i="30"/>
  <c r="W41" i="30"/>
  <c r="C41" i="30"/>
  <c r="A41" i="30"/>
  <c r="E39" i="30"/>
  <c r="E38" i="30"/>
  <c r="W38" i="30"/>
  <c r="C38" i="30"/>
  <c r="A38" i="30"/>
  <c r="E36" i="30"/>
  <c r="W35" i="30"/>
  <c r="C35" i="30"/>
  <c r="A35" i="30"/>
  <c r="E33" i="30"/>
  <c r="E32" i="30"/>
  <c r="W32" i="30"/>
  <c r="C32" i="30"/>
  <c r="A32" i="30"/>
  <c r="E30" i="30"/>
  <c r="W29" i="30"/>
  <c r="C29" i="30"/>
  <c r="A29" i="30"/>
  <c r="E27" i="30"/>
  <c r="E26" i="30"/>
  <c r="W26" i="30"/>
  <c r="C26" i="30"/>
  <c r="A26" i="30"/>
  <c r="E24" i="30"/>
  <c r="W23" i="30"/>
  <c r="C23" i="30"/>
  <c r="A23" i="30"/>
  <c r="E21" i="30"/>
  <c r="E20" i="30"/>
  <c r="W20" i="30"/>
  <c r="C20" i="30"/>
  <c r="A20" i="30"/>
  <c r="E18" i="30"/>
  <c r="W17" i="30"/>
  <c r="C17" i="30"/>
  <c r="A17" i="30"/>
  <c r="E15" i="30"/>
  <c r="E14" i="30"/>
  <c r="W14" i="30"/>
  <c r="C14" i="30"/>
  <c r="A14" i="30"/>
  <c r="E13" i="30"/>
  <c r="E12" i="30"/>
  <c r="W11" i="30"/>
  <c r="C11" i="30"/>
  <c r="A11" i="30"/>
  <c r="I7" i="30"/>
  <c r="K102" i="24" l="1"/>
  <c r="L102" i="24" s="1"/>
  <c r="M102" i="24" s="1"/>
  <c r="M152" i="27"/>
  <c r="D91" i="30"/>
  <c r="E90" i="30" s="1"/>
  <c r="D79" i="30"/>
  <c r="E78" i="30" s="1"/>
  <c r="L102" i="31"/>
  <c r="M102" i="31" s="1"/>
  <c r="K102" i="27"/>
  <c r="L102" i="27" s="1"/>
  <c r="M102" i="27" s="1"/>
  <c r="D85" i="30"/>
  <c r="E84" i="30" s="1"/>
  <c r="D141" i="30"/>
  <c r="J107" i="30"/>
  <c r="K107" i="30" s="1"/>
  <c r="D97" i="30"/>
  <c r="E96" i="30" s="1"/>
  <c r="D73" i="30"/>
  <c r="E72" i="30" s="1"/>
  <c r="J57" i="30"/>
  <c r="D111" i="30"/>
  <c r="D123" i="30"/>
  <c r="D129" i="30"/>
  <c r="D135" i="30"/>
  <c r="D117" i="30"/>
  <c r="D76" i="30"/>
  <c r="E75" i="30" s="1"/>
  <c r="D88" i="30"/>
  <c r="E87" i="30" s="1"/>
  <c r="D14" i="30"/>
  <c r="D38" i="30"/>
  <c r="E37" i="30" s="1"/>
  <c r="D20" i="30"/>
  <c r="E19" i="30" s="1"/>
  <c r="E50" i="30"/>
  <c r="D50" i="30" s="1"/>
  <c r="E49" i="30" s="1"/>
  <c r="D44" i="30"/>
  <c r="E43" i="30" s="1"/>
  <c r="D32" i="30"/>
  <c r="E31" i="30" s="1"/>
  <c r="D26" i="30"/>
  <c r="E25" i="30" s="1"/>
  <c r="D82" i="30"/>
  <c r="E81" i="30" s="1"/>
  <c r="D67" i="30"/>
  <c r="E66" i="30" s="1"/>
  <c r="D94" i="30"/>
  <c r="E93" i="30" s="1"/>
  <c r="D147" i="30"/>
  <c r="D61" i="30"/>
  <c r="I8" i="30"/>
  <c r="J7" i="30"/>
  <c r="C53" i="30"/>
  <c r="E133" i="30"/>
  <c r="E132" i="30"/>
  <c r="C132" i="30"/>
  <c r="E11" i="30"/>
  <c r="E23" i="30"/>
  <c r="D23" i="30" s="1"/>
  <c r="E22" i="30" s="1"/>
  <c r="E35" i="30"/>
  <c r="D35" i="30" s="1"/>
  <c r="E34" i="30" s="1"/>
  <c r="E47" i="30"/>
  <c r="D47" i="30" s="1"/>
  <c r="E46" i="30" s="1"/>
  <c r="E52" i="30"/>
  <c r="C64" i="30"/>
  <c r="D64" i="30" s="1"/>
  <c r="E115" i="30"/>
  <c r="E114" i="30"/>
  <c r="C114" i="30"/>
  <c r="E121" i="30"/>
  <c r="E120" i="30"/>
  <c r="C120" i="30"/>
  <c r="E127" i="30"/>
  <c r="E126" i="30"/>
  <c r="C126" i="30"/>
  <c r="D70" i="30"/>
  <c r="E69" i="30" s="1"/>
  <c r="E145" i="30"/>
  <c r="E144" i="30"/>
  <c r="C144" i="30"/>
  <c r="E17" i="30"/>
  <c r="D17" i="30" s="1"/>
  <c r="E16" i="30" s="1"/>
  <c r="E29" i="30"/>
  <c r="D29" i="30" s="1"/>
  <c r="E28" i="30" s="1"/>
  <c r="E41" i="30"/>
  <c r="D41" i="30" s="1"/>
  <c r="E40" i="30" s="1"/>
  <c r="E134" i="30"/>
  <c r="E139" i="30"/>
  <c r="E138" i="30"/>
  <c r="C138" i="30"/>
  <c r="E152" i="30"/>
  <c r="E100" i="30"/>
  <c r="E103" i="30" s="1"/>
  <c r="E112" i="30"/>
  <c r="E118" i="30"/>
  <c r="E124" i="30"/>
  <c r="E130" i="30"/>
  <c r="E136" i="30"/>
  <c r="E142" i="30"/>
  <c r="E148" i="30"/>
  <c r="C150" i="30"/>
  <c r="E101" i="30"/>
  <c r="E131" i="30"/>
  <c r="E137" i="30"/>
  <c r="E143" i="30"/>
  <c r="E149" i="30"/>
  <c r="E150" i="30"/>
  <c r="B150" i="23"/>
  <c r="B147" i="23"/>
  <c r="B144" i="23"/>
  <c r="B141" i="23"/>
  <c r="C141" i="23" s="1"/>
  <c r="B138" i="23"/>
  <c r="E140" i="23" s="1"/>
  <c r="B135" i="23"/>
  <c r="B132" i="23"/>
  <c r="B129" i="23"/>
  <c r="C129" i="23" s="1"/>
  <c r="B126" i="23"/>
  <c r="E128" i="23" s="1"/>
  <c r="B123" i="23"/>
  <c r="E125" i="23" s="1"/>
  <c r="B120" i="23"/>
  <c r="B117" i="23"/>
  <c r="E118" i="23" s="1"/>
  <c r="B114" i="23"/>
  <c r="E116" i="23" s="1"/>
  <c r="B111" i="23"/>
  <c r="B100" i="23"/>
  <c r="B97" i="23"/>
  <c r="C97" i="23" s="1"/>
  <c r="B94" i="23"/>
  <c r="C94" i="23" s="1"/>
  <c r="B91" i="23"/>
  <c r="B88" i="23"/>
  <c r="B85" i="23"/>
  <c r="B82" i="23"/>
  <c r="C82" i="23" s="1"/>
  <c r="B79" i="23"/>
  <c r="B76" i="23"/>
  <c r="B73" i="23"/>
  <c r="C73" i="23" s="1"/>
  <c r="B70" i="23"/>
  <c r="C70" i="23" s="1"/>
  <c r="B67" i="23"/>
  <c r="B64" i="23"/>
  <c r="B61" i="23"/>
  <c r="B50" i="23"/>
  <c r="C50" i="23" s="1"/>
  <c r="B47" i="23"/>
  <c r="B44" i="23"/>
  <c r="C44" i="23" s="1"/>
  <c r="B41" i="23"/>
  <c r="B38" i="23"/>
  <c r="C38" i="23" s="1"/>
  <c r="B35" i="23"/>
  <c r="B32" i="23"/>
  <c r="C32" i="23" s="1"/>
  <c r="B29" i="23"/>
  <c r="C29" i="23" s="1"/>
  <c r="B26" i="23"/>
  <c r="C26" i="23" s="1"/>
  <c r="B23" i="23"/>
  <c r="B20" i="23"/>
  <c r="B17" i="23"/>
  <c r="C17" i="23" s="1"/>
  <c r="B14" i="23"/>
  <c r="B11" i="23"/>
  <c r="E13" i="23" s="1"/>
  <c r="C151" i="23"/>
  <c r="F151" i="23" s="1"/>
  <c r="G151" i="23" s="1"/>
  <c r="H151" i="23" s="1"/>
  <c r="I151" i="23" s="1"/>
  <c r="J151" i="23" s="1"/>
  <c r="K151" i="23" s="1"/>
  <c r="L151" i="23" s="1"/>
  <c r="M151" i="23" s="1"/>
  <c r="W150" i="23"/>
  <c r="E151" i="23"/>
  <c r="A150" i="23"/>
  <c r="C148" i="23"/>
  <c r="D148" i="23" s="1"/>
  <c r="E147" i="23" s="1"/>
  <c r="W147" i="23"/>
  <c r="C147" i="23"/>
  <c r="A147" i="23"/>
  <c r="C145" i="23"/>
  <c r="W144" i="23"/>
  <c r="E145" i="23"/>
  <c r="A144" i="23"/>
  <c r="C142" i="23"/>
  <c r="D142" i="23" s="1"/>
  <c r="E141" i="23" s="1"/>
  <c r="W141" i="23"/>
  <c r="A141" i="23"/>
  <c r="C139" i="23"/>
  <c r="W138" i="23"/>
  <c r="A138" i="23"/>
  <c r="C136" i="23"/>
  <c r="D136" i="23" s="1"/>
  <c r="E135" i="23" s="1"/>
  <c r="W135" i="23"/>
  <c r="C135" i="23"/>
  <c r="A135" i="23"/>
  <c r="C133" i="23"/>
  <c r="W132" i="23"/>
  <c r="E134" i="23"/>
  <c r="A132" i="23"/>
  <c r="C130" i="23"/>
  <c r="W129" i="23"/>
  <c r="A129" i="23"/>
  <c r="C127" i="23"/>
  <c r="W126" i="23"/>
  <c r="A126" i="23"/>
  <c r="C124" i="23"/>
  <c r="D124" i="23" s="1"/>
  <c r="E123" i="23" s="1"/>
  <c r="W123" i="23"/>
  <c r="C123" i="23"/>
  <c r="A123" i="23"/>
  <c r="C121" i="23"/>
  <c r="W120" i="23"/>
  <c r="E122" i="23"/>
  <c r="A120" i="23"/>
  <c r="C118" i="23"/>
  <c r="D118" i="23" s="1"/>
  <c r="E117" i="23" s="1"/>
  <c r="W117" i="23"/>
  <c r="A117" i="23"/>
  <c r="C115" i="23"/>
  <c r="W114" i="23"/>
  <c r="A114" i="23"/>
  <c r="E112" i="23"/>
  <c r="C112" i="23"/>
  <c r="D112" i="23" s="1"/>
  <c r="E111" i="23" s="1"/>
  <c r="W111" i="23"/>
  <c r="C111" i="23"/>
  <c r="E113" i="23"/>
  <c r="A111" i="23"/>
  <c r="I108" i="23"/>
  <c r="I107" i="23"/>
  <c r="J107" i="23" s="1"/>
  <c r="C101" i="23"/>
  <c r="F101" i="23" s="1"/>
  <c r="G101" i="23" s="1"/>
  <c r="H101" i="23" s="1"/>
  <c r="I101" i="23" s="1"/>
  <c r="J101" i="23" s="1"/>
  <c r="K101" i="23" s="1"/>
  <c r="L101" i="23" s="1"/>
  <c r="M101" i="23" s="1"/>
  <c r="W100" i="23"/>
  <c r="C100" i="23"/>
  <c r="E102" i="23"/>
  <c r="A100" i="23"/>
  <c r="E98" i="23"/>
  <c r="C98" i="23"/>
  <c r="W97" i="23"/>
  <c r="A97" i="23"/>
  <c r="E95" i="23"/>
  <c r="C95" i="23"/>
  <c r="W94" i="23"/>
  <c r="A94" i="23"/>
  <c r="E92" i="23"/>
  <c r="C92" i="23"/>
  <c r="D92" i="23" s="1"/>
  <c r="E91" i="23" s="1"/>
  <c r="W91" i="23"/>
  <c r="C91" i="23"/>
  <c r="A91" i="23"/>
  <c r="E89" i="23"/>
  <c r="C89" i="23"/>
  <c r="W88" i="23"/>
  <c r="C88" i="23"/>
  <c r="A88" i="23"/>
  <c r="E86" i="23"/>
  <c r="C86" i="23"/>
  <c r="D86" i="23" s="1"/>
  <c r="E85" i="23" s="1"/>
  <c r="W85" i="23"/>
  <c r="C85" i="23"/>
  <c r="A85" i="23"/>
  <c r="E83" i="23"/>
  <c r="C83" i="23"/>
  <c r="W82" i="23"/>
  <c r="A82" i="23"/>
  <c r="E80" i="23"/>
  <c r="C80" i="23"/>
  <c r="D80" i="23" s="1"/>
  <c r="E79" i="23" s="1"/>
  <c r="W79" i="23"/>
  <c r="C79" i="23"/>
  <c r="A79" i="23"/>
  <c r="E77" i="23"/>
  <c r="C77" i="23"/>
  <c r="W76" i="23"/>
  <c r="C76" i="23"/>
  <c r="A76" i="23"/>
  <c r="E74" i="23"/>
  <c r="C74" i="23"/>
  <c r="D74" i="23" s="1"/>
  <c r="E73" i="23" s="1"/>
  <c r="W73" i="23"/>
  <c r="A73" i="23"/>
  <c r="E71" i="23"/>
  <c r="C71" i="23"/>
  <c r="W70" i="23"/>
  <c r="A70" i="23"/>
  <c r="E68" i="23"/>
  <c r="C68" i="23"/>
  <c r="W67" i="23"/>
  <c r="A67" i="23"/>
  <c r="E65" i="23"/>
  <c r="C65" i="23"/>
  <c r="D65" i="23" s="1"/>
  <c r="E64" i="23" s="1"/>
  <c r="W64" i="23"/>
  <c r="A64" i="23"/>
  <c r="E62" i="23"/>
  <c r="C62" i="23"/>
  <c r="W61" i="23"/>
  <c r="C61" i="23"/>
  <c r="E63" i="23"/>
  <c r="A61" i="23"/>
  <c r="I57" i="23"/>
  <c r="J57" i="23" s="1"/>
  <c r="C51" i="23"/>
  <c r="F51" i="23" s="1"/>
  <c r="G51" i="23" s="1"/>
  <c r="H51" i="23" s="1"/>
  <c r="I51" i="23" s="1"/>
  <c r="J51" i="23" s="1"/>
  <c r="K51" i="23" s="1"/>
  <c r="L51" i="23" s="1"/>
  <c r="M51" i="23" s="1"/>
  <c r="W50" i="23"/>
  <c r="A50" i="23"/>
  <c r="E48" i="23"/>
  <c r="C48" i="23"/>
  <c r="W47" i="23"/>
  <c r="C47" i="23"/>
  <c r="A47" i="23"/>
  <c r="E45" i="23"/>
  <c r="C45" i="23"/>
  <c r="W44" i="23"/>
  <c r="A44" i="23"/>
  <c r="E42" i="23"/>
  <c r="C42" i="23"/>
  <c r="W41" i="23"/>
  <c r="C41" i="23"/>
  <c r="A41" i="23"/>
  <c r="E39" i="23"/>
  <c r="C39" i="23"/>
  <c r="W38" i="23"/>
  <c r="A38" i="23"/>
  <c r="E36" i="23"/>
  <c r="C36" i="23"/>
  <c r="W35" i="23"/>
  <c r="C35" i="23"/>
  <c r="A35" i="23"/>
  <c r="E33" i="23"/>
  <c r="C33" i="23"/>
  <c r="W32" i="23"/>
  <c r="A32" i="23"/>
  <c r="E30" i="23"/>
  <c r="C30" i="23"/>
  <c r="W29" i="23"/>
  <c r="A29" i="23"/>
  <c r="E27" i="23"/>
  <c r="C27" i="23"/>
  <c r="D27" i="23" s="1"/>
  <c r="E26" i="23" s="1"/>
  <c r="W26" i="23"/>
  <c r="A26" i="23"/>
  <c r="E24" i="23"/>
  <c r="C24" i="23"/>
  <c r="W23" i="23"/>
  <c r="C23" i="23"/>
  <c r="A23" i="23"/>
  <c r="E21" i="23"/>
  <c r="C21" i="23"/>
  <c r="D21" i="23" s="1"/>
  <c r="E20" i="23" s="1"/>
  <c r="W20" i="23"/>
  <c r="C20" i="23"/>
  <c r="A20" i="23"/>
  <c r="E18" i="23"/>
  <c r="C18" i="23"/>
  <c r="W17" i="23"/>
  <c r="A17" i="23"/>
  <c r="E15" i="23"/>
  <c r="C15" i="23"/>
  <c r="W14" i="23"/>
  <c r="C14" i="23"/>
  <c r="A14" i="23"/>
  <c r="W11" i="23"/>
  <c r="A11" i="23"/>
  <c r="C12" i="23"/>
  <c r="I7" i="23"/>
  <c r="D98" i="23" l="1"/>
  <c r="E97" i="23" s="1"/>
  <c r="C11" i="23"/>
  <c r="D62" i="23"/>
  <c r="E61" i="23" s="1"/>
  <c r="D73" i="23"/>
  <c r="E72" i="23" s="1"/>
  <c r="D85" i="23"/>
  <c r="E84" i="23" s="1"/>
  <c r="E119" i="23"/>
  <c r="D39" i="23"/>
  <c r="E38" i="23" s="1"/>
  <c r="D38" i="23" s="1"/>
  <c r="E37" i="23" s="1"/>
  <c r="D15" i="23"/>
  <c r="E14" i="23" s="1"/>
  <c r="E51" i="23"/>
  <c r="D91" i="23"/>
  <c r="E90" i="23" s="1"/>
  <c r="J108" i="30"/>
  <c r="D126" i="30"/>
  <c r="J58" i="30"/>
  <c r="K57" i="30"/>
  <c r="D150" i="30"/>
  <c r="D138" i="30"/>
  <c r="D132" i="30"/>
  <c r="E153" i="30"/>
  <c r="D114" i="30"/>
  <c r="D120" i="30"/>
  <c r="E53" i="30"/>
  <c r="D11" i="30"/>
  <c r="D53" i="30" s="1"/>
  <c r="K108" i="30"/>
  <c r="L107" i="30"/>
  <c r="C103" i="30"/>
  <c r="J8" i="30"/>
  <c r="K7" i="30"/>
  <c r="F152" i="30"/>
  <c r="C153" i="30"/>
  <c r="D144" i="30"/>
  <c r="D100" i="30"/>
  <c r="E99" i="30" s="1"/>
  <c r="D51" i="23"/>
  <c r="E50" i="23" s="1"/>
  <c r="D50" i="23" s="1"/>
  <c r="E49" i="23" s="1"/>
  <c r="D135" i="23"/>
  <c r="D141" i="23"/>
  <c r="D111" i="23"/>
  <c r="D123" i="23"/>
  <c r="D68" i="23"/>
  <c r="E67" i="23" s="1"/>
  <c r="D79" i="23"/>
  <c r="E78" i="23" s="1"/>
  <c r="D95" i="23"/>
  <c r="E94" i="23" s="1"/>
  <c r="D94" i="23" s="1"/>
  <c r="E93" i="23" s="1"/>
  <c r="D26" i="23"/>
  <c r="E25" i="23" s="1"/>
  <c r="C117" i="23"/>
  <c r="D117" i="23" s="1"/>
  <c r="D130" i="23"/>
  <c r="E129" i="23" s="1"/>
  <c r="D129" i="23" s="1"/>
  <c r="D147" i="23"/>
  <c r="C67" i="23"/>
  <c r="D45" i="23"/>
  <c r="E44" i="23" s="1"/>
  <c r="D44" i="23" s="1"/>
  <c r="E43" i="23" s="1"/>
  <c r="D33" i="23"/>
  <c r="E32" i="23" s="1"/>
  <c r="D32" i="23" s="1"/>
  <c r="E31" i="23" s="1"/>
  <c r="D14" i="23"/>
  <c r="C53" i="23"/>
  <c r="E12" i="23"/>
  <c r="J58" i="23"/>
  <c r="K57" i="23"/>
  <c r="D61" i="23"/>
  <c r="D12" i="23"/>
  <c r="E11" i="23" s="1"/>
  <c r="D20" i="23"/>
  <c r="E19" i="23" s="1"/>
  <c r="D24" i="23"/>
  <c r="E23" i="23" s="1"/>
  <c r="D23" i="23" s="1"/>
  <c r="E22" i="23" s="1"/>
  <c r="D36" i="23"/>
  <c r="E35" i="23" s="1"/>
  <c r="D35" i="23" s="1"/>
  <c r="E34" i="23" s="1"/>
  <c r="D48" i="23"/>
  <c r="E47" i="23" s="1"/>
  <c r="D47" i="23" s="1"/>
  <c r="E46" i="23" s="1"/>
  <c r="E52" i="23"/>
  <c r="C64" i="23"/>
  <c r="D64" i="23" s="1"/>
  <c r="D71" i="23"/>
  <c r="E70" i="23" s="1"/>
  <c r="D70" i="23" s="1"/>
  <c r="E69" i="23" s="1"/>
  <c r="D77" i="23"/>
  <c r="E76" i="23" s="1"/>
  <c r="D76" i="23" s="1"/>
  <c r="E75" i="23" s="1"/>
  <c r="D83" i="23"/>
  <c r="E82" i="23" s="1"/>
  <c r="D82" i="23" s="1"/>
  <c r="E81" i="23" s="1"/>
  <c r="D89" i="23"/>
  <c r="E88" i="23" s="1"/>
  <c r="D88" i="23" s="1"/>
  <c r="E87" i="23" s="1"/>
  <c r="D97" i="23"/>
  <c r="E96" i="23" s="1"/>
  <c r="E139" i="23"/>
  <c r="D139" i="23"/>
  <c r="E138" i="23" s="1"/>
  <c r="C138" i="23"/>
  <c r="I8" i="23"/>
  <c r="J7" i="23"/>
  <c r="I58" i="23"/>
  <c r="J108" i="23"/>
  <c r="K107" i="23"/>
  <c r="F152" i="23" s="1"/>
  <c r="E115" i="23"/>
  <c r="D115" i="23"/>
  <c r="E114" i="23" s="1"/>
  <c r="C114" i="23"/>
  <c r="E133" i="23"/>
  <c r="D133" i="23"/>
  <c r="E132" i="23" s="1"/>
  <c r="C132" i="23"/>
  <c r="D18" i="23"/>
  <c r="E17" i="23" s="1"/>
  <c r="D17" i="23" s="1"/>
  <c r="E16" i="23" s="1"/>
  <c r="D30" i="23"/>
  <c r="E29" i="23" s="1"/>
  <c r="D29" i="23" s="1"/>
  <c r="E28" i="23" s="1"/>
  <c r="D42" i="23"/>
  <c r="E41" i="23" s="1"/>
  <c r="D41" i="23" s="1"/>
  <c r="E40" i="23" s="1"/>
  <c r="E121" i="23"/>
  <c r="D121" i="23"/>
  <c r="E120" i="23" s="1"/>
  <c r="C120" i="23"/>
  <c r="E127" i="23"/>
  <c r="D127" i="23"/>
  <c r="E126" i="23" s="1"/>
  <c r="C126" i="23"/>
  <c r="E146" i="23"/>
  <c r="E152" i="23"/>
  <c r="D101" i="23"/>
  <c r="E100" i="23" s="1"/>
  <c r="D100" i="23" s="1"/>
  <c r="E99" i="23" s="1"/>
  <c r="E124" i="23"/>
  <c r="E130" i="23"/>
  <c r="E136" i="23"/>
  <c r="E142" i="23"/>
  <c r="C144" i="23"/>
  <c r="E148" i="23"/>
  <c r="C150" i="23"/>
  <c r="E101" i="23"/>
  <c r="E131" i="23"/>
  <c r="E137" i="23"/>
  <c r="E143" i="23"/>
  <c r="D145" i="23"/>
  <c r="E144" i="23" s="1"/>
  <c r="E149" i="23"/>
  <c r="D151" i="23"/>
  <c r="E150" i="23" s="1"/>
  <c r="S19" i="28"/>
  <c r="R19" i="28"/>
  <c r="P19" i="28"/>
  <c r="N19" i="28"/>
  <c r="L19" i="28"/>
  <c r="K19" i="28"/>
  <c r="H19" i="28"/>
  <c r="G19" i="28"/>
  <c r="F19" i="28"/>
  <c r="E19" i="28"/>
  <c r="Q19" i="28" s="1"/>
  <c r="S18" i="28"/>
  <c r="R18" i="28"/>
  <c r="P18" i="28"/>
  <c r="N18" i="28"/>
  <c r="L18" i="28"/>
  <c r="K18" i="28"/>
  <c r="J18" i="28"/>
  <c r="H18" i="28"/>
  <c r="G18" i="28"/>
  <c r="F18" i="28"/>
  <c r="E18" i="28"/>
  <c r="Q18" i="28" s="1"/>
  <c r="S17" i="28"/>
  <c r="R17" i="28"/>
  <c r="P17" i="28"/>
  <c r="N17" i="28"/>
  <c r="L17" i="28"/>
  <c r="K17" i="28"/>
  <c r="H17" i="28"/>
  <c r="G17" i="28"/>
  <c r="F17" i="28"/>
  <c r="E17" i="28"/>
  <c r="Q17" i="28" s="1"/>
  <c r="S16" i="28"/>
  <c r="R16" i="28"/>
  <c r="P16" i="28"/>
  <c r="N16" i="28"/>
  <c r="L16" i="28"/>
  <c r="K16" i="28"/>
  <c r="J16" i="28"/>
  <c r="H16" i="28"/>
  <c r="G16" i="28"/>
  <c r="F16" i="28"/>
  <c r="E16" i="28"/>
  <c r="Q16" i="28" s="1"/>
  <c r="S15" i="28"/>
  <c r="R15" i="28"/>
  <c r="P15" i="28"/>
  <c r="N15" i="28"/>
  <c r="L15" i="28"/>
  <c r="K15" i="28"/>
  <c r="H15" i="28"/>
  <c r="G15" i="28"/>
  <c r="F15" i="28"/>
  <c r="E15" i="28"/>
  <c r="Q15" i="28" s="1"/>
  <c r="S14" i="28"/>
  <c r="R14" i="28"/>
  <c r="P14" i="28"/>
  <c r="N14" i="28"/>
  <c r="L14" i="28"/>
  <c r="K14" i="28"/>
  <c r="J14" i="28"/>
  <c r="H14" i="28"/>
  <c r="G14" i="28"/>
  <c r="F14" i="28"/>
  <c r="E14" i="28"/>
  <c r="Q14" i="28" s="1"/>
  <c r="S13" i="28"/>
  <c r="R13" i="28"/>
  <c r="P13" i="28"/>
  <c r="N13" i="28"/>
  <c r="L13" i="28"/>
  <c r="K13" i="28"/>
  <c r="H13" i="28"/>
  <c r="G13" i="28"/>
  <c r="F13" i="28"/>
  <c r="E13" i="28"/>
  <c r="Q13" i="28" s="1"/>
  <c r="S12" i="28"/>
  <c r="R12" i="28"/>
  <c r="P12" i="28"/>
  <c r="N12" i="28"/>
  <c r="L12" i="28"/>
  <c r="K12" i="28"/>
  <c r="J12" i="28"/>
  <c r="H12" i="28"/>
  <c r="G12" i="28"/>
  <c r="F12" i="28"/>
  <c r="E12" i="28"/>
  <c r="Q12" i="28" s="1"/>
  <c r="S11" i="28"/>
  <c r="R11" i="28"/>
  <c r="P11" i="28"/>
  <c r="N11" i="28"/>
  <c r="L11" i="28"/>
  <c r="K11" i="28"/>
  <c r="H11" i="28"/>
  <c r="G11" i="28"/>
  <c r="F11" i="28"/>
  <c r="E11" i="28"/>
  <c r="Q11" i="28" s="1"/>
  <c r="S10" i="28"/>
  <c r="R10" i="28"/>
  <c r="P10" i="28"/>
  <c r="N10" i="28"/>
  <c r="L10" i="28"/>
  <c r="K10" i="28"/>
  <c r="J10" i="28"/>
  <c r="H10" i="28"/>
  <c r="G10" i="28"/>
  <c r="F10" i="28"/>
  <c r="E10" i="28"/>
  <c r="Q10" i="28" s="1"/>
  <c r="S9" i="28"/>
  <c r="R9" i="28"/>
  <c r="P9" i="28"/>
  <c r="N9" i="28"/>
  <c r="L9" i="28"/>
  <c r="K9" i="28"/>
  <c r="H9" i="28"/>
  <c r="G9" i="28"/>
  <c r="F9" i="28"/>
  <c r="E9" i="28"/>
  <c r="Q9" i="28" s="1"/>
  <c r="S8" i="28"/>
  <c r="R8" i="28"/>
  <c r="P8" i="28"/>
  <c r="N8" i="28"/>
  <c r="L8" i="28"/>
  <c r="K8" i="28"/>
  <c r="J8" i="28"/>
  <c r="H8" i="28"/>
  <c r="G8" i="28"/>
  <c r="F8" i="28"/>
  <c r="E8" i="28"/>
  <c r="Q8" i="28" s="1"/>
  <c r="S7" i="28"/>
  <c r="R7" i="28"/>
  <c r="P7" i="28"/>
  <c r="N7" i="28"/>
  <c r="L7" i="28"/>
  <c r="K7" i="28"/>
  <c r="H7" i="28"/>
  <c r="G7" i="28"/>
  <c r="F7" i="28"/>
  <c r="E7" i="28"/>
  <c r="Q7" i="28" s="1"/>
  <c r="S6" i="28"/>
  <c r="R6" i="28"/>
  <c r="P6" i="28"/>
  <c r="N6" i="28"/>
  <c r="L6" i="28"/>
  <c r="K6" i="28"/>
  <c r="J6" i="28"/>
  <c r="H6" i="28"/>
  <c r="G6" i="28"/>
  <c r="F6" i="28"/>
  <c r="E6" i="28"/>
  <c r="Q6" i="28" s="1"/>
  <c r="S5" i="28"/>
  <c r="R5" i="28"/>
  <c r="P5" i="28"/>
  <c r="N5" i="28"/>
  <c r="L5" i="28"/>
  <c r="K5" i="28"/>
  <c r="H5" i="28"/>
  <c r="G5" i="28"/>
  <c r="F5" i="28"/>
  <c r="E5" i="28"/>
  <c r="Q5" i="28" s="1"/>
  <c r="A5" i="28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S4" i="28"/>
  <c r="R4" i="28"/>
  <c r="N4" i="28"/>
  <c r="L4" i="28"/>
  <c r="J4" i="28"/>
  <c r="H4" i="28"/>
  <c r="G4" i="28"/>
  <c r="E4" i="28"/>
  <c r="Q4" i="28" s="1"/>
  <c r="B150" i="13"/>
  <c r="B147" i="13"/>
  <c r="B144" i="13"/>
  <c r="B141" i="13"/>
  <c r="B138" i="13"/>
  <c r="B135" i="13"/>
  <c r="B132" i="13"/>
  <c r="E134" i="13" s="1"/>
  <c r="B129" i="13"/>
  <c r="B126" i="13"/>
  <c r="B123" i="13"/>
  <c r="B120" i="13"/>
  <c r="B117" i="13"/>
  <c r="E119" i="13" s="1"/>
  <c r="B114" i="13"/>
  <c r="B111" i="13"/>
  <c r="B100" i="13"/>
  <c r="E101" i="13" s="1"/>
  <c r="B97" i="13"/>
  <c r="B94" i="13"/>
  <c r="B91" i="13"/>
  <c r="B88" i="13"/>
  <c r="B85" i="13"/>
  <c r="B82" i="13"/>
  <c r="B79" i="13"/>
  <c r="C79" i="13" s="1"/>
  <c r="B76" i="13"/>
  <c r="C76" i="13" s="1"/>
  <c r="B73" i="13"/>
  <c r="C73" i="13" s="1"/>
  <c r="B70" i="13"/>
  <c r="B67" i="13"/>
  <c r="B64" i="13"/>
  <c r="B61" i="13"/>
  <c r="C61" i="13" s="1"/>
  <c r="B50" i="13"/>
  <c r="B47" i="13"/>
  <c r="B44" i="13"/>
  <c r="C44" i="13" s="1"/>
  <c r="B41" i="13"/>
  <c r="C41" i="13" s="1"/>
  <c r="B38" i="13"/>
  <c r="B35" i="13"/>
  <c r="B32" i="13"/>
  <c r="B29" i="13"/>
  <c r="C29" i="13" s="1"/>
  <c r="B26" i="13"/>
  <c r="C26" i="13" s="1"/>
  <c r="B23" i="13"/>
  <c r="C23" i="13" s="1"/>
  <c r="B20" i="13"/>
  <c r="C20" i="13" s="1"/>
  <c r="B17" i="13"/>
  <c r="C17" i="13" s="1"/>
  <c r="B14" i="13"/>
  <c r="B11" i="13"/>
  <c r="C151" i="13"/>
  <c r="F151" i="13" s="1"/>
  <c r="G151" i="13" s="1"/>
  <c r="H151" i="13" s="1"/>
  <c r="I151" i="13" s="1"/>
  <c r="J151" i="13" s="1"/>
  <c r="K151" i="13" s="1"/>
  <c r="L151" i="13" s="1"/>
  <c r="M151" i="13" s="1"/>
  <c r="W150" i="13"/>
  <c r="E151" i="13"/>
  <c r="A150" i="13"/>
  <c r="C148" i="13"/>
  <c r="W147" i="13"/>
  <c r="A147" i="13"/>
  <c r="E146" i="13"/>
  <c r="C145" i="13"/>
  <c r="W144" i="13"/>
  <c r="A144" i="13"/>
  <c r="C142" i="13"/>
  <c r="W141" i="13"/>
  <c r="E143" i="13"/>
  <c r="A141" i="13"/>
  <c r="C139" i="13"/>
  <c r="W138" i="13"/>
  <c r="A138" i="13"/>
  <c r="C136" i="13"/>
  <c r="W135" i="13"/>
  <c r="A135" i="13"/>
  <c r="C133" i="13"/>
  <c r="W132" i="13"/>
  <c r="A132" i="13"/>
  <c r="C130" i="13"/>
  <c r="W129" i="13"/>
  <c r="A129" i="13"/>
  <c r="C127" i="13"/>
  <c r="W126" i="13"/>
  <c r="A126" i="13"/>
  <c r="C124" i="13"/>
  <c r="W123" i="13"/>
  <c r="A123" i="13"/>
  <c r="E122" i="13"/>
  <c r="C121" i="13"/>
  <c r="W120" i="13"/>
  <c r="A120" i="13"/>
  <c r="C118" i="13"/>
  <c r="W117" i="13"/>
  <c r="A117" i="13"/>
  <c r="C115" i="13"/>
  <c r="W114" i="13"/>
  <c r="A114" i="13"/>
  <c r="C112" i="13"/>
  <c r="W111" i="13"/>
  <c r="A111" i="13"/>
  <c r="I107" i="13"/>
  <c r="J107" i="13" s="1"/>
  <c r="C101" i="13"/>
  <c r="F101" i="13" s="1"/>
  <c r="G101" i="13" s="1"/>
  <c r="H101" i="13" s="1"/>
  <c r="I101" i="13" s="1"/>
  <c r="J101" i="13" s="1"/>
  <c r="K101" i="13" s="1"/>
  <c r="L101" i="13" s="1"/>
  <c r="M101" i="13" s="1"/>
  <c r="W100" i="13"/>
  <c r="E102" i="13"/>
  <c r="A100" i="13"/>
  <c r="E98" i="13"/>
  <c r="C98" i="13"/>
  <c r="W97" i="13"/>
  <c r="C97" i="13"/>
  <c r="A97" i="13"/>
  <c r="E95" i="13"/>
  <c r="C95" i="13"/>
  <c r="W94" i="13"/>
  <c r="C94" i="13"/>
  <c r="A94" i="13"/>
  <c r="E92" i="13"/>
  <c r="C92" i="13"/>
  <c r="W91" i="13"/>
  <c r="C91" i="13"/>
  <c r="A91" i="13"/>
  <c r="E89" i="13"/>
  <c r="C89" i="13"/>
  <c r="W88" i="13"/>
  <c r="C88" i="13"/>
  <c r="A88" i="13"/>
  <c r="E86" i="13"/>
  <c r="C86" i="13"/>
  <c r="W85" i="13"/>
  <c r="C85" i="13"/>
  <c r="A85" i="13"/>
  <c r="E83" i="13"/>
  <c r="C83" i="13"/>
  <c r="W82" i="13"/>
  <c r="C82" i="13"/>
  <c r="A82" i="13"/>
  <c r="E80" i="13"/>
  <c r="C80" i="13"/>
  <c r="W79" i="13"/>
  <c r="A79" i="13"/>
  <c r="E77" i="13"/>
  <c r="C77" i="13"/>
  <c r="W76" i="13"/>
  <c r="A76" i="13"/>
  <c r="E74" i="13"/>
  <c r="C74" i="13"/>
  <c r="W73" i="13"/>
  <c r="A73" i="13"/>
  <c r="E71" i="13"/>
  <c r="C71" i="13"/>
  <c r="D71" i="13" s="1"/>
  <c r="E70" i="13" s="1"/>
  <c r="W70" i="13"/>
  <c r="C70" i="13"/>
  <c r="A70" i="13"/>
  <c r="E68" i="13"/>
  <c r="C68" i="13"/>
  <c r="W67" i="13"/>
  <c r="C67" i="13"/>
  <c r="A67" i="13"/>
  <c r="E65" i="13"/>
  <c r="C65" i="13"/>
  <c r="W64" i="13"/>
  <c r="C64" i="13"/>
  <c r="A64" i="13"/>
  <c r="E62" i="13"/>
  <c r="C62" i="13"/>
  <c r="W61" i="13"/>
  <c r="A61" i="13"/>
  <c r="I57" i="13"/>
  <c r="E52" i="13"/>
  <c r="C51" i="13"/>
  <c r="F51" i="13" s="1"/>
  <c r="G51" i="13" s="1"/>
  <c r="H51" i="13" s="1"/>
  <c r="I51" i="13" s="1"/>
  <c r="J51" i="13" s="1"/>
  <c r="K51" i="13" s="1"/>
  <c r="L51" i="13" s="1"/>
  <c r="M51" i="13" s="1"/>
  <c r="W50" i="13"/>
  <c r="A50" i="13"/>
  <c r="E48" i="13"/>
  <c r="C48" i="13"/>
  <c r="W47" i="13"/>
  <c r="C47" i="13"/>
  <c r="A47" i="13"/>
  <c r="E45" i="13"/>
  <c r="C45" i="13"/>
  <c r="W44" i="13"/>
  <c r="A44" i="13"/>
  <c r="E42" i="13"/>
  <c r="C42" i="13"/>
  <c r="W41" i="13"/>
  <c r="A41" i="13"/>
  <c r="E39" i="13"/>
  <c r="C39" i="13"/>
  <c r="W38" i="13"/>
  <c r="C38" i="13"/>
  <c r="A38" i="13"/>
  <c r="E36" i="13"/>
  <c r="C36" i="13"/>
  <c r="W35" i="13"/>
  <c r="C35" i="13"/>
  <c r="A35" i="13"/>
  <c r="E33" i="13"/>
  <c r="C33" i="13"/>
  <c r="W32" i="13"/>
  <c r="C32" i="13"/>
  <c r="A32" i="13"/>
  <c r="E30" i="13"/>
  <c r="C30" i="13"/>
  <c r="W29" i="13"/>
  <c r="A29" i="13"/>
  <c r="E27" i="13"/>
  <c r="C27" i="13"/>
  <c r="W26" i="13"/>
  <c r="A26" i="13"/>
  <c r="E24" i="13"/>
  <c r="C24" i="13"/>
  <c r="W23" i="13"/>
  <c r="A23" i="13"/>
  <c r="E21" i="13"/>
  <c r="C21" i="13"/>
  <c r="W20" i="13"/>
  <c r="A20" i="13"/>
  <c r="E18" i="13"/>
  <c r="C18" i="13"/>
  <c r="W17" i="13"/>
  <c r="A17" i="13"/>
  <c r="E15" i="13"/>
  <c r="C15" i="13"/>
  <c r="D15" i="13" s="1"/>
  <c r="E14" i="13" s="1"/>
  <c r="W14" i="13"/>
  <c r="C14" i="13"/>
  <c r="A14" i="13"/>
  <c r="W11" i="13"/>
  <c r="E13" i="13"/>
  <c r="A11" i="13"/>
  <c r="C12" i="13"/>
  <c r="D12" i="13" s="1"/>
  <c r="E11" i="13" s="1"/>
  <c r="I7" i="13"/>
  <c r="D77" i="13" l="1"/>
  <c r="E76" i="13" s="1"/>
  <c r="D76" i="13" s="1"/>
  <c r="E75" i="13" s="1"/>
  <c r="C100" i="13"/>
  <c r="K4" i="28"/>
  <c r="O5" i="28"/>
  <c r="O7" i="28"/>
  <c r="O9" i="28"/>
  <c r="O11" i="28"/>
  <c r="O13" i="28"/>
  <c r="O15" i="28"/>
  <c r="O17" i="28"/>
  <c r="O19" i="28"/>
  <c r="O4" i="28"/>
  <c r="F4" i="28"/>
  <c r="P4" i="28"/>
  <c r="J5" i="28"/>
  <c r="O6" i="28"/>
  <c r="J7" i="28"/>
  <c r="O8" i="28"/>
  <c r="J9" i="28"/>
  <c r="O10" i="28"/>
  <c r="J11" i="28"/>
  <c r="O12" i="28"/>
  <c r="J13" i="28"/>
  <c r="O14" i="28"/>
  <c r="J15" i="28"/>
  <c r="O16" i="28"/>
  <c r="J17" i="28"/>
  <c r="O18" i="28"/>
  <c r="J19" i="28"/>
  <c r="K58" i="30"/>
  <c r="L57" i="30"/>
  <c r="F102" i="30"/>
  <c r="G102" i="30" s="1"/>
  <c r="D153" i="30"/>
  <c r="L7" i="30"/>
  <c r="F52" i="30"/>
  <c r="K8" i="30"/>
  <c r="D103" i="30"/>
  <c r="G152" i="30"/>
  <c r="L108" i="30"/>
  <c r="M107" i="30"/>
  <c r="M108" i="30" s="1"/>
  <c r="D132" i="23"/>
  <c r="D126" i="23"/>
  <c r="D114" i="23"/>
  <c r="D67" i="23"/>
  <c r="E66" i="23" s="1"/>
  <c r="E153" i="23"/>
  <c r="D120" i="23"/>
  <c r="D138" i="23"/>
  <c r="E103" i="23"/>
  <c r="D150" i="23"/>
  <c r="C153" i="23"/>
  <c r="C103" i="23"/>
  <c r="D144" i="23"/>
  <c r="J8" i="23"/>
  <c r="K7" i="23"/>
  <c r="G152" i="23"/>
  <c r="H152" i="23" s="1"/>
  <c r="K108" i="23"/>
  <c r="L107" i="23"/>
  <c r="E53" i="23"/>
  <c r="D11" i="23"/>
  <c r="D53" i="23" s="1"/>
  <c r="K58" i="23"/>
  <c r="L57" i="23"/>
  <c r="F102" i="23"/>
  <c r="I4" i="28"/>
  <c r="M4" i="28"/>
  <c r="I5" i="28"/>
  <c r="M5" i="28"/>
  <c r="I6" i="28"/>
  <c r="M6" i="28"/>
  <c r="I7" i="28"/>
  <c r="M7" i="28"/>
  <c r="I8" i="28"/>
  <c r="M8" i="28"/>
  <c r="I9" i="28"/>
  <c r="M9" i="28"/>
  <c r="I10" i="28"/>
  <c r="M10" i="28"/>
  <c r="I11" i="28"/>
  <c r="M11" i="28"/>
  <c r="I12" i="28"/>
  <c r="M12" i="28"/>
  <c r="I13" i="28"/>
  <c r="M13" i="28"/>
  <c r="I14" i="28"/>
  <c r="M14" i="28"/>
  <c r="I15" i="28"/>
  <c r="M15" i="28"/>
  <c r="I16" i="28"/>
  <c r="M16" i="28"/>
  <c r="I17" i="28"/>
  <c r="M17" i="28"/>
  <c r="I18" i="28"/>
  <c r="M18" i="28"/>
  <c r="I19" i="28"/>
  <c r="M19" i="28"/>
  <c r="I108" i="13"/>
  <c r="D92" i="13"/>
  <c r="E91" i="13" s="1"/>
  <c r="D91" i="13" s="1"/>
  <c r="E90" i="13" s="1"/>
  <c r="D68" i="13"/>
  <c r="E67" i="13" s="1"/>
  <c r="D67" i="13" s="1"/>
  <c r="E66" i="13" s="1"/>
  <c r="D74" i="13"/>
  <c r="E73" i="13" s="1"/>
  <c r="D73" i="13" s="1"/>
  <c r="E72" i="13" s="1"/>
  <c r="D80" i="13"/>
  <c r="E79" i="13" s="1"/>
  <c r="D79" i="13" s="1"/>
  <c r="E78" i="13" s="1"/>
  <c r="D95" i="13"/>
  <c r="E94" i="13" s="1"/>
  <c r="D94" i="13" s="1"/>
  <c r="E93" i="13" s="1"/>
  <c r="D98" i="13"/>
  <c r="E97" i="13" s="1"/>
  <c r="D97" i="13" s="1"/>
  <c r="E96" i="13" s="1"/>
  <c r="D65" i="13"/>
  <c r="E64" i="13" s="1"/>
  <c r="D64" i="13" s="1"/>
  <c r="D86" i="13"/>
  <c r="E85" i="13" s="1"/>
  <c r="D85" i="13" s="1"/>
  <c r="E84" i="13" s="1"/>
  <c r="D62" i="13"/>
  <c r="E61" i="13" s="1"/>
  <c r="D61" i="13" s="1"/>
  <c r="D83" i="13"/>
  <c r="E82" i="13" s="1"/>
  <c r="D82" i="13" s="1"/>
  <c r="E81" i="13" s="1"/>
  <c r="D89" i="13"/>
  <c r="E88" i="13" s="1"/>
  <c r="D88" i="13" s="1"/>
  <c r="E87" i="13" s="1"/>
  <c r="D14" i="13"/>
  <c r="D21" i="13"/>
  <c r="E20" i="13" s="1"/>
  <c r="D20" i="13" s="1"/>
  <c r="E19" i="13" s="1"/>
  <c r="D24" i="13"/>
  <c r="E23" i="13" s="1"/>
  <c r="D23" i="13" s="1"/>
  <c r="E22" i="13" s="1"/>
  <c r="C129" i="13"/>
  <c r="E130" i="13"/>
  <c r="D130" i="13"/>
  <c r="E129" i="13" s="1"/>
  <c r="C103" i="13"/>
  <c r="E115" i="13"/>
  <c r="C114" i="13"/>
  <c r="D115" i="13"/>
  <c r="E114" i="13" s="1"/>
  <c r="E127" i="13"/>
  <c r="C126" i="13"/>
  <c r="D127" i="13"/>
  <c r="E126" i="13" s="1"/>
  <c r="E131" i="13"/>
  <c r="E139" i="13"/>
  <c r="C138" i="13"/>
  <c r="D139" i="13"/>
  <c r="E138" i="13" s="1"/>
  <c r="J108" i="13"/>
  <c r="K107" i="13"/>
  <c r="C117" i="13"/>
  <c r="E118" i="13"/>
  <c r="D118" i="13"/>
  <c r="E117" i="13" s="1"/>
  <c r="C141" i="13"/>
  <c r="E142" i="13"/>
  <c r="D142" i="13"/>
  <c r="E141" i="13" s="1"/>
  <c r="E12" i="13"/>
  <c r="C11" i="13"/>
  <c r="I8" i="13"/>
  <c r="J7" i="13"/>
  <c r="I58" i="13"/>
  <c r="J57" i="13"/>
  <c r="D70" i="13"/>
  <c r="E69" i="13" s="1"/>
  <c r="C111" i="13"/>
  <c r="E112" i="13"/>
  <c r="D112" i="13"/>
  <c r="E111" i="13" s="1"/>
  <c r="E116" i="13"/>
  <c r="C123" i="13"/>
  <c r="E124" i="13"/>
  <c r="D124" i="13"/>
  <c r="E123" i="13" s="1"/>
  <c r="E128" i="13"/>
  <c r="C135" i="13"/>
  <c r="E136" i="13"/>
  <c r="D136" i="13"/>
  <c r="E135" i="13" s="1"/>
  <c r="E140" i="13"/>
  <c r="C147" i="13"/>
  <c r="E149" i="13"/>
  <c r="E148" i="13"/>
  <c r="D148" i="13"/>
  <c r="E147" i="13" s="1"/>
  <c r="D18" i="13"/>
  <c r="E17" i="13" s="1"/>
  <c r="D17" i="13" s="1"/>
  <c r="E16" i="13" s="1"/>
  <c r="D27" i="13"/>
  <c r="E26" i="13" s="1"/>
  <c r="D26" i="13" s="1"/>
  <c r="E25" i="13" s="1"/>
  <c r="D30" i="13"/>
  <c r="E29" i="13" s="1"/>
  <c r="D29" i="13" s="1"/>
  <c r="E28" i="13" s="1"/>
  <c r="D33" i="13"/>
  <c r="E32" i="13" s="1"/>
  <c r="D32" i="13" s="1"/>
  <c r="E31" i="13" s="1"/>
  <c r="D36" i="13"/>
  <c r="E35" i="13" s="1"/>
  <c r="D35" i="13" s="1"/>
  <c r="E34" i="13" s="1"/>
  <c r="D39" i="13"/>
  <c r="E38" i="13" s="1"/>
  <c r="D38" i="13" s="1"/>
  <c r="E37" i="13" s="1"/>
  <c r="D42" i="13"/>
  <c r="E41" i="13" s="1"/>
  <c r="D41" i="13" s="1"/>
  <c r="E40" i="13" s="1"/>
  <c r="D45" i="13"/>
  <c r="E44" i="13" s="1"/>
  <c r="D44" i="13" s="1"/>
  <c r="E43" i="13" s="1"/>
  <c r="D48" i="13"/>
  <c r="E47" i="13" s="1"/>
  <c r="D47" i="13" s="1"/>
  <c r="E46" i="13" s="1"/>
  <c r="C50" i="13"/>
  <c r="E51" i="13"/>
  <c r="D51" i="13"/>
  <c r="E50" i="13" s="1"/>
  <c r="E113" i="13"/>
  <c r="E121" i="13"/>
  <c r="C120" i="13"/>
  <c r="D121" i="13"/>
  <c r="E120" i="13" s="1"/>
  <c r="E125" i="13"/>
  <c r="E133" i="13"/>
  <c r="C132" i="13"/>
  <c r="D133" i="13"/>
  <c r="E132" i="13" s="1"/>
  <c r="E137" i="13"/>
  <c r="E145" i="13"/>
  <c r="C144" i="13"/>
  <c r="D145" i="13"/>
  <c r="E144" i="13" s="1"/>
  <c r="E152" i="13"/>
  <c r="E63" i="13"/>
  <c r="D101" i="13"/>
  <c r="E100" i="13" s="1"/>
  <c r="C150" i="13"/>
  <c r="F152" i="13"/>
  <c r="D151" i="13"/>
  <c r="E150" i="13" s="1"/>
  <c r="B150" i="8"/>
  <c r="B147" i="8"/>
  <c r="C147" i="8" s="1"/>
  <c r="B144" i="8"/>
  <c r="E146" i="8" s="1"/>
  <c r="B141" i="8"/>
  <c r="C141" i="8" s="1"/>
  <c r="B138" i="8"/>
  <c r="B135" i="8"/>
  <c r="B132" i="8"/>
  <c r="E134" i="8" s="1"/>
  <c r="B129" i="8"/>
  <c r="B126" i="8"/>
  <c r="E128" i="8" s="1"/>
  <c r="B123" i="8"/>
  <c r="B120" i="8"/>
  <c r="E122" i="8" s="1"/>
  <c r="B117" i="8"/>
  <c r="B114" i="8"/>
  <c r="B111" i="8"/>
  <c r="B100" i="8"/>
  <c r="C100" i="8" s="1"/>
  <c r="B97" i="8"/>
  <c r="B94" i="8"/>
  <c r="C94" i="8" s="1"/>
  <c r="B91" i="8"/>
  <c r="B88" i="8"/>
  <c r="C88" i="8" s="1"/>
  <c r="B85" i="8"/>
  <c r="B82" i="8"/>
  <c r="B79" i="8"/>
  <c r="B76" i="8"/>
  <c r="B73" i="8"/>
  <c r="B70" i="8"/>
  <c r="C70" i="8" s="1"/>
  <c r="B67" i="8"/>
  <c r="B64" i="8"/>
  <c r="C64" i="8" s="1"/>
  <c r="B61" i="8"/>
  <c r="B50" i="8"/>
  <c r="B47" i="8"/>
  <c r="C47" i="8" s="1"/>
  <c r="B44" i="8"/>
  <c r="C44" i="8" s="1"/>
  <c r="B41" i="8"/>
  <c r="C41" i="8" s="1"/>
  <c r="B38" i="8"/>
  <c r="B35" i="8"/>
  <c r="C35" i="8" s="1"/>
  <c r="B32" i="8"/>
  <c r="C32" i="8" s="1"/>
  <c r="B29" i="8"/>
  <c r="B26" i="8"/>
  <c r="B23" i="8"/>
  <c r="B20" i="8"/>
  <c r="B17" i="8"/>
  <c r="C17" i="8" s="1"/>
  <c r="B14" i="8"/>
  <c r="B11" i="8"/>
  <c r="C11" i="8" s="1"/>
  <c r="C151" i="8"/>
  <c r="F151" i="8" s="1"/>
  <c r="G151" i="8" s="1"/>
  <c r="H151" i="8" s="1"/>
  <c r="I151" i="8" s="1"/>
  <c r="J151" i="8" s="1"/>
  <c r="K151" i="8" s="1"/>
  <c r="L151" i="8" s="1"/>
  <c r="M151" i="8" s="1"/>
  <c r="W150" i="8"/>
  <c r="A150" i="8"/>
  <c r="C148" i="8"/>
  <c r="D148" i="8" s="1"/>
  <c r="E147" i="8" s="1"/>
  <c r="W147" i="8"/>
  <c r="A147" i="8"/>
  <c r="C145" i="8"/>
  <c r="W144" i="8"/>
  <c r="A144" i="8"/>
  <c r="C142" i="8"/>
  <c r="D142" i="8" s="1"/>
  <c r="E141" i="8" s="1"/>
  <c r="W141" i="8"/>
  <c r="A141" i="8"/>
  <c r="C139" i="8"/>
  <c r="W138" i="8"/>
  <c r="E140" i="8"/>
  <c r="A138" i="8"/>
  <c r="C136" i="8"/>
  <c r="D136" i="8" s="1"/>
  <c r="E135" i="8" s="1"/>
  <c r="W135" i="8"/>
  <c r="C135" i="8"/>
  <c r="A135" i="8"/>
  <c r="C133" i="8"/>
  <c r="W132" i="8"/>
  <c r="A132" i="8"/>
  <c r="C130" i="8"/>
  <c r="W129" i="8"/>
  <c r="A129" i="8"/>
  <c r="C127" i="8"/>
  <c r="W126" i="8"/>
  <c r="A126" i="8"/>
  <c r="C124" i="8"/>
  <c r="W123" i="8"/>
  <c r="C123" i="8"/>
  <c r="A123" i="8"/>
  <c r="C121" i="8"/>
  <c r="W120" i="8"/>
  <c r="A120" i="8"/>
  <c r="C118" i="8"/>
  <c r="W117" i="8"/>
  <c r="C117" i="8"/>
  <c r="A117" i="8"/>
  <c r="C115" i="8"/>
  <c r="W114" i="8"/>
  <c r="E116" i="8"/>
  <c r="A114" i="8"/>
  <c r="C112" i="8"/>
  <c r="W111" i="8"/>
  <c r="C111" i="8"/>
  <c r="E113" i="8"/>
  <c r="A111" i="8"/>
  <c r="I107" i="8"/>
  <c r="I108" i="8" s="1"/>
  <c r="C101" i="8"/>
  <c r="F101" i="8" s="1"/>
  <c r="G101" i="8" s="1"/>
  <c r="H101" i="8" s="1"/>
  <c r="I101" i="8" s="1"/>
  <c r="J101" i="8" s="1"/>
  <c r="K101" i="8" s="1"/>
  <c r="L101" i="8" s="1"/>
  <c r="M101" i="8" s="1"/>
  <c r="W100" i="8"/>
  <c r="A100" i="8"/>
  <c r="E98" i="8"/>
  <c r="C98" i="8"/>
  <c r="W97" i="8"/>
  <c r="A97" i="8"/>
  <c r="E95" i="8"/>
  <c r="C95" i="8"/>
  <c r="D95" i="8" s="1"/>
  <c r="E94" i="8" s="1"/>
  <c r="W94" i="8"/>
  <c r="A94" i="8"/>
  <c r="E92" i="8"/>
  <c r="C92" i="8"/>
  <c r="W91" i="8"/>
  <c r="A91" i="8"/>
  <c r="E89" i="8"/>
  <c r="C89" i="8"/>
  <c r="W88" i="8"/>
  <c r="A88" i="8"/>
  <c r="E86" i="8"/>
  <c r="C86" i="8"/>
  <c r="W85" i="8"/>
  <c r="A85" i="8"/>
  <c r="E83" i="8"/>
  <c r="C83" i="8"/>
  <c r="W82" i="8"/>
  <c r="C82" i="8"/>
  <c r="A82" i="8"/>
  <c r="E80" i="8"/>
  <c r="C80" i="8"/>
  <c r="W79" i="8"/>
  <c r="A79" i="8"/>
  <c r="E77" i="8"/>
  <c r="C77" i="8"/>
  <c r="W76" i="8"/>
  <c r="C76" i="8"/>
  <c r="A76" i="8"/>
  <c r="E74" i="8"/>
  <c r="C74" i="8"/>
  <c r="W73" i="8"/>
  <c r="A73" i="8"/>
  <c r="E71" i="8"/>
  <c r="C71" i="8"/>
  <c r="D71" i="8" s="1"/>
  <c r="E70" i="8" s="1"/>
  <c r="W70" i="8"/>
  <c r="A70" i="8"/>
  <c r="E68" i="8"/>
  <c r="C68" i="8"/>
  <c r="W67" i="8"/>
  <c r="A67" i="8"/>
  <c r="E65" i="8"/>
  <c r="C65" i="8"/>
  <c r="D65" i="8" s="1"/>
  <c r="E64" i="8" s="1"/>
  <c r="W64" i="8"/>
  <c r="A64" i="8"/>
  <c r="E63" i="8"/>
  <c r="C62" i="8"/>
  <c r="W61" i="8"/>
  <c r="A61" i="8"/>
  <c r="I57" i="8"/>
  <c r="C51" i="8"/>
  <c r="F51" i="8" s="1"/>
  <c r="G51" i="8" s="1"/>
  <c r="H51" i="8" s="1"/>
  <c r="I51" i="8" s="1"/>
  <c r="J51" i="8" s="1"/>
  <c r="K51" i="8" s="1"/>
  <c r="L51" i="8" s="1"/>
  <c r="M51" i="8" s="1"/>
  <c r="W50" i="8"/>
  <c r="A50" i="8"/>
  <c r="E48" i="8"/>
  <c r="C48" i="8"/>
  <c r="W47" i="8"/>
  <c r="A47" i="8"/>
  <c r="E45" i="8"/>
  <c r="C45" i="8"/>
  <c r="W44" i="8"/>
  <c r="A44" i="8"/>
  <c r="E42" i="8"/>
  <c r="C42" i="8"/>
  <c r="W41" i="8"/>
  <c r="A41" i="8"/>
  <c r="E39" i="8"/>
  <c r="C39" i="8"/>
  <c r="D39" i="8" s="1"/>
  <c r="E38" i="8" s="1"/>
  <c r="W38" i="8"/>
  <c r="C38" i="8"/>
  <c r="A38" i="8"/>
  <c r="E36" i="8"/>
  <c r="C36" i="8"/>
  <c r="W35" i="8"/>
  <c r="A35" i="8"/>
  <c r="E33" i="8"/>
  <c r="C33" i="8"/>
  <c r="W32" i="8"/>
  <c r="A32" i="8"/>
  <c r="E30" i="8"/>
  <c r="C30" i="8"/>
  <c r="D30" i="8" s="1"/>
  <c r="E29" i="8" s="1"/>
  <c r="W29" i="8"/>
  <c r="C29" i="8"/>
  <c r="A29" i="8"/>
  <c r="E27" i="8"/>
  <c r="C27" i="8"/>
  <c r="W26" i="8"/>
  <c r="A26" i="8"/>
  <c r="E24" i="8"/>
  <c r="C24" i="8"/>
  <c r="W23" i="8"/>
  <c r="C23" i="8"/>
  <c r="A23" i="8"/>
  <c r="E21" i="8"/>
  <c r="C21" i="8"/>
  <c r="W20" i="8"/>
  <c r="A20" i="8"/>
  <c r="E18" i="8"/>
  <c r="C18" i="8"/>
  <c r="W17" i="8"/>
  <c r="A17" i="8"/>
  <c r="E15" i="8"/>
  <c r="C15" i="8"/>
  <c r="W14" i="8"/>
  <c r="A14" i="8"/>
  <c r="W11" i="8"/>
  <c r="A11" i="8"/>
  <c r="C12" i="8"/>
  <c r="I7" i="8"/>
  <c r="I8" i="8" s="1"/>
  <c r="D18" i="8" l="1"/>
  <c r="E17" i="8" s="1"/>
  <c r="D103" i="23"/>
  <c r="D77" i="8"/>
  <c r="E76" i="8" s="1"/>
  <c r="D27" i="8"/>
  <c r="E26" i="8" s="1"/>
  <c r="D48" i="8"/>
  <c r="E47" i="8" s="1"/>
  <c r="D83" i="8"/>
  <c r="E82" i="8" s="1"/>
  <c r="D82" i="8" s="1"/>
  <c r="E81" i="8" s="1"/>
  <c r="D112" i="8"/>
  <c r="E111" i="8" s="1"/>
  <c r="D111" i="8" s="1"/>
  <c r="D124" i="8"/>
  <c r="E123" i="8" s="1"/>
  <c r="J7" i="8"/>
  <c r="K7" i="8" s="1"/>
  <c r="L7" i="8" s="1"/>
  <c r="M57" i="30"/>
  <c r="M58" i="30" s="1"/>
  <c r="L58" i="30"/>
  <c r="H102" i="30"/>
  <c r="I102" i="30" s="1"/>
  <c r="G52" i="30"/>
  <c r="M7" i="30"/>
  <c r="M8" i="30" s="1"/>
  <c r="L8" i="30"/>
  <c r="H152" i="30"/>
  <c r="I152" i="30" s="1"/>
  <c r="D153" i="23"/>
  <c r="I152" i="23"/>
  <c r="J152" i="23" s="1"/>
  <c r="G102" i="23"/>
  <c r="H102" i="23" s="1"/>
  <c r="F52" i="23"/>
  <c r="L7" i="23"/>
  <c r="K8" i="23"/>
  <c r="L58" i="23"/>
  <c r="M57" i="23"/>
  <c r="M58" i="23" s="1"/>
  <c r="L108" i="23"/>
  <c r="M107" i="23"/>
  <c r="M108" i="23" s="1"/>
  <c r="D150" i="13"/>
  <c r="E103" i="13"/>
  <c r="E53" i="13"/>
  <c r="D144" i="13"/>
  <c r="D120" i="13"/>
  <c r="E153" i="13"/>
  <c r="J8" i="13"/>
  <c r="K7" i="13"/>
  <c r="D100" i="13"/>
  <c r="E99" i="13" s="1"/>
  <c r="D114" i="13"/>
  <c r="D132" i="13"/>
  <c r="D50" i="13"/>
  <c r="E49" i="13" s="1"/>
  <c r="D117" i="13"/>
  <c r="D138" i="13"/>
  <c r="D126" i="13"/>
  <c r="D129" i="13"/>
  <c r="G152" i="13"/>
  <c r="D147" i="13"/>
  <c r="D135" i="13"/>
  <c r="D123" i="13"/>
  <c r="C153" i="13"/>
  <c r="D111" i="13"/>
  <c r="K57" i="13"/>
  <c r="J58" i="13"/>
  <c r="C53" i="13"/>
  <c r="D11" i="13"/>
  <c r="D141" i="13"/>
  <c r="K108" i="13"/>
  <c r="L107" i="13"/>
  <c r="J107" i="8"/>
  <c r="D70" i="8"/>
  <c r="E69" i="8" s="1"/>
  <c r="D64" i="8"/>
  <c r="D29" i="8"/>
  <c r="E28" i="8" s="1"/>
  <c r="D21" i="8"/>
  <c r="E20" i="8" s="1"/>
  <c r="D118" i="8"/>
  <c r="E117" i="8" s="1"/>
  <c r="D117" i="8" s="1"/>
  <c r="D130" i="8"/>
  <c r="E129" i="8" s="1"/>
  <c r="D141" i="8"/>
  <c r="D135" i="8"/>
  <c r="D94" i="8"/>
  <c r="E93" i="8" s="1"/>
  <c r="D33" i="8"/>
  <c r="E32" i="8" s="1"/>
  <c r="D32" i="8" s="1"/>
  <c r="E31" i="8" s="1"/>
  <c r="D47" i="8"/>
  <c r="E46" i="8" s="1"/>
  <c r="D15" i="8"/>
  <c r="E14" i="8" s="1"/>
  <c r="D123" i="8"/>
  <c r="C129" i="8"/>
  <c r="D147" i="8"/>
  <c r="E119" i="8"/>
  <c r="D89" i="8"/>
  <c r="E88" i="8" s="1"/>
  <c r="D88" i="8" s="1"/>
  <c r="E87" i="8" s="1"/>
  <c r="E102" i="8"/>
  <c r="D42" i="8"/>
  <c r="E41" i="8" s="1"/>
  <c r="D41" i="8" s="1"/>
  <c r="E40" i="8" s="1"/>
  <c r="D38" i="8"/>
  <c r="E37" i="8" s="1"/>
  <c r="D36" i="8"/>
  <c r="E35" i="8" s="1"/>
  <c r="D35" i="8" s="1"/>
  <c r="E34" i="8" s="1"/>
  <c r="D24" i="8"/>
  <c r="E23" i="8" s="1"/>
  <c r="D23" i="8" s="1"/>
  <c r="E22" i="8" s="1"/>
  <c r="C14" i="8"/>
  <c r="D12" i="8"/>
  <c r="E11" i="8" s="1"/>
  <c r="D11" i="8" s="1"/>
  <c r="E12" i="8"/>
  <c r="E13" i="8"/>
  <c r="D17" i="8"/>
  <c r="E16" i="8" s="1"/>
  <c r="D76" i="8"/>
  <c r="E75" i="8" s="1"/>
  <c r="J8" i="8"/>
  <c r="C20" i="8"/>
  <c r="D51" i="8"/>
  <c r="E50" i="8" s="1"/>
  <c r="D98" i="8"/>
  <c r="E97" i="8" s="1"/>
  <c r="C97" i="8"/>
  <c r="C26" i="8"/>
  <c r="D26" i="8" s="1"/>
  <c r="E25" i="8" s="1"/>
  <c r="C50" i="8"/>
  <c r="E51" i="8"/>
  <c r="F52" i="8"/>
  <c r="D68" i="8"/>
  <c r="E67" i="8" s="1"/>
  <c r="C67" i="8"/>
  <c r="D92" i="8"/>
  <c r="E91" i="8" s="1"/>
  <c r="C91" i="8"/>
  <c r="E127" i="8"/>
  <c r="D127" i="8"/>
  <c r="E126" i="8" s="1"/>
  <c r="C126" i="8"/>
  <c r="E151" i="8"/>
  <c r="D151" i="8"/>
  <c r="E150" i="8" s="1"/>
  <c r="C150" i="8"/>
  <c r="D62" i="8"/>
  <c r="E61" i="8" s="1"/>
  <c r="C61" i="8"/>
  <c r="E62" i="8"/>
  <c r="D86" i="8"/>
  <c r="E85" i="8" s="1"/>
  <c r="C85" i="8"/>
  <c r="E115" i="8"/>
  <c r="D115" i="8"/>
  <c r="E114" i="8" s="1"/>
  <c r="C114" i="8"/>
  <c r="E121" i="8"/>
  <c r="D121" i="8"/>
  <c r="E120" i="8" s="1"/>
  <c r="C120" i="8"/>
  <c r="E145" i="8"/>
  <c r="D145" i="8"/>
  <c r="E144" i="8" s="1"/>
  <c r="C144" i="8"/>
  <c r="E152" i="8"/>
  <c r="D45" i="8"/>
  <c r="E44" i="8" s="1"/>
  <c r="D44" i="8" s="1"/>
  <c r="E43" i="8" s="1"/>
  <c r="E139" i="8"/>
  <c r="D139" i="8"/>
  <c r="E138" i="8" s="1"/>
  <c r="C138" i="8"/>
  <c r="I58" i="8"/>
  <c r="J57" i="8"/>
  <c r="D80" i="8"/>
  <c r="E79" i="8" s="1"/>
  <c r="C79" i="8"/>
  <c r="E52" i="8"/>
  <c r="D74" i="8"/>
  <c r="E73" i="8" s="1"/>
  <c r="C73" i="8"/>
  <c r="D101" i="8"/>
  <c r="E100" i="8" s="1"/>
  <c r="D100" i="8" s="1"/>
  <c r="E99" i="8" s="1"/>
  <c r="E133" i="8"/>
  <c r="D133" i="8"/>
  <c r="E132" i="8" s="1"/>
  <c r="C132" i="8"/>
  <c r="E101" i="8"/>
  <c r="E112" i="8"/>
  <c r="E118" i="8"/>
  <c r="E124" i="8"/>
  <c r="E130" i="8"/>
  <c r="E136" i="8"/>
  <c r="E142" i="8"/>
  <c r="E148" i="8"/>
  <c r="E125" i="8"/>
  <c r="E131" i="8"/>
  <c r="E137" i="8"/>
  <c r="E143" i="8"/>
  <c r="E149" i="8"/>
  <c r="V110" i="25"/>
  <c r="V60" i="25"/>
  <c r="V10" i="25"/>
  <c r="V110" i="29"/>
  <c r="V60" i="29"/>
  <c r="V10" i="29"/>
  <c r="V110" i="26"/>
  <c r="V60" i="26"/>
  <c r="V10" i="26"/>
  <c r="V60" i="4"/>
  <c r="K8" i="8" l="1"/>
  <c r="D14" i="8"/>
  <c r="J102" i="30"/>
  <c r="K102" i="30" s="1"/>
  <c r="J152" i="30"/>
  <c r="K152" i="30" s="1"/>
  <c r="H52" i="30"/>
  <c r="K152" i="23"/>
  <c r="L152" i="23" s="1"/>
  <c r="M152" i="23" s="1"/>
  <c r="I102" i="23"/>
  <c r="J102" i="23" s="1"/>
  <c r="M7" i="23"/>
  <c r="M8" i="23" s="1"/>
  <c r="L8" i="23"/>
  <c r="G52" i="23"/>
  <c r="D53" i="13"/>
  <c r="D103" i="13"/>
  <c r="K58" i="13"/>
  <c r="L57" i="13"/>
  <c r="F102" i="13"/>
  <c r="D153" i="13"/>
  <c r="H152" i="13"/>
  <c r="L108" i="13"/>
  <c r="M107" i="13"/>
  <c r="M108" i="13" s="1"/>
  <c r="K8" i="13"/>
  <c r="L7" i="13"/>
  <c r="F52" i="13"/>
  <c r="D132" i="8"/>
  <c r="D129" i="8"/>
  <c r="K107" i="8"/>
  <c r="J108" i="8"/>
  <c r="D67" i="8"/>
  <c r="E66" i="8" s="1"/>
  <c r="D20" i="8"/>
  <c r="E19" i="8" s="1"/>
  <c r="D50" i="8"/>
  <c r="E49" i="8" s="1"/>
  <c r="D91" i="8"/>
  <c r="E90" i="8" s="1"/>
  <c r="D97" i="8"/>
  <c r="E96" i="8" s="1"/>
  <c r="D150" i="8"/>
  <c r="D114" i="8"/>
  <c r="D79" i="8"/>
  <c r="E78" i="8" s="1"/>
  <c r="D85" i="8"/>
  <c r="E84" i="8" s="1"/>
  <c r="E153" i="8"/>
  <c r="D126" i="8"/>
  <c r="D138" i="8"/>
  <c r="D120" i="8"/>
  <c r="C53" i="8"/>
  <c r="E103" i="8"/>
  <c r="E53" i="8"/>
  <c r="D73" i="8"/>
  <c r="E72" i="8" s="1"/>
  <c r="D144" i="8"/>
  <c r="J58" i="8"/>
  <c r="K57" i="8"/>
  <c r="G52" i="8"/>
  <c r="C153" i="8"/>
  <c r="C103" i="8"/>
  <c r="D61" i="8"/>
  <c r="L8" i="8"/>
  <c r="M7" i="8"/>
  <c r="M8" i="8" s="1"/>
  <c r="C148" i="7"/>
  <c r="C145" i="7"/>
  <c r="C142" i="7"/>
  <c r="C139" i="7"/>
  <c r="C136" i="7"/>
  <c r="C133" i="7"/>
  <c r="C130" i="7"/>
  <c r="C127" i="7"/>
  <c r="C124" i="7"/>
  <c r="C121" i="7"/>
  <c r="C118" i="7"/>
  <c r="C115" i="7"/>
  <c r="C112" i="7"/>
  <c r="C148" i="26"/>
  <c r="C145" i="26"/>
  <c r="C142" i="26"/>
  <c r="C139" i="26"/>
  <c r="C136" i="26"/>
  <c r="C133" i="26"/>
  <c r="C130" i="26"/>
  <c r="C127" i="26"/>
  <c r="C124" i="26"/>
  <c r="C121" i="26"/>
  <c r="C118" i="26"/>
  <c r="C115" i="26"/>
  <c r="C112" i="26"/>
  <c r="C148" i="29"/>
  <c r="C145" i="29"/>
  <c r="C142" i="29"/>
  <c r="C139" i="29"/>
  <c r="C136" i="29"/>
  <c r="C133" i="29"/>
  <c r="C130" i="29"/>
  <c r="C127" i="29"/>
  <c r="C124" i="29"/>
  <c r="C121" i="29"/>
  <c r="C118" i="29"/>
  <c r="C115" i="29"/>
  <c r="C112" i="29"/>
  <c r="C148" i="4"/>
  <c r="C145" i="4"/>
  <c r="C142" i="4"/>
  <c r="C139" i="4"/>
  <c r="C136" i="4"/>
  <c r="C133" i="4"/>
  <c r="C130" i="4"/>
  <c r="C127" i="4"/>
  <c r="C124" i="4"/>
  <c r="C121" i="4"/>
  <c r="C118" i="4"/>
  <c r="C115" i="4"/>
  <c r="C112" i="4"/>
  <c r="C98" i="7"/>
  <c r="C95" i="7"/>
  <c r="C92" i="7"/>
  <c r="C89" i="7"/>
  <c r="C86" i="7"/>
  <c r="C83" i="7"/>
  <c r="C80" i="7"/>
  <c r="C77" i="7"/>
  <c r="C74" i="7"/>
  <c r="C71" i="7"/>
  <c r="C68" i="7"/>
  <c r="C65" i="7"/>
  <c r="C62" i="7"/>
  <c r="C98" i="26"/>
  <c r="C95" i="26"/>
  <c r="C92" i="26"/>
  <c r="C89" i="26"/>
  <c r="C86" i="26"/>
  <c r="C83" i="26"/>
  <c r="C80" i="26"/>
  <c r="C77" i="26"/>
  <c r="C74" i="26"/>
  <c r="C71" i="26"/>
  <c r="C68" i="26"/>
  <c r="C65" i="26"/>
  <c r="C62" i="26"/>
  <c r="C98" i="29"/>
  <c r="C95" i="29"/>
  <c r="C92" i="29"/>
  <c r="C89" i="29"/>
  <c r="C86" i="29"/>
  <c r="C83" i="29"/>
  <c r="C80" i="29"/>
  <c r="C77" i="29"/>
  <c r="C74" i="29"/>
  <c r="C71" i="29"/>
  <c r="C68" i="29"/>
  <c r="C65" i="29"/>
  <c r="C62" i="29"/>
  <c r="D53" i="8" l="1"/>
  <c r="L152" i="30"/>
  <c r="M152" i="30" s="1"/>
  <c r="L102" i="30"/>
  <c r="M102" i="30" s="1"/>
  <c r="I52" i="30"/>
  <c r="K102" i="23"/>
  <c r="L102" i="23" s="1"/>
  <c r="H52" i="23"/>
  <c r="G102" i="13"/>
  <c r="H102" i="13" s="1"/>
  <c r="G52" i="13"/>
  <c r="L58" i="13"/>
  <c r="M57" i="13"/>
  <c r="M58" i="13" s="1"/>
  <c r="L8" i="13"/>
  <c r="M7" i="13"/>
  <c r="M8" i="13" s="1"/>
  <c r="I152" i="13"/>
  <c r="K108" i="8"/>
  <c r="F152" i="8"/>
  <c r="G152" i="8" s="1"/>
  <c r="L107" i="8"/>
  <c r="D103" i="8"/>
  <c r="D153" i="8"/>
  <c r="F102" i="8"/>
  <c r="L57" i="8"/>
  <c r="K58" i="8"/>
  <c r="H52" i="8"/>
  <c r="C98" i="4"/>
  <c r="C95" i="4"/>
  <c r="C92" i="4"/>
  <c r="C89" i="4"/>
  <c r="C86" i="4"/>
  <c r="C83" i="4"/>
  <c r="C80" i="4"/>
  <c r="C77" i="4"/>
  <c r="C74" i="4"/>
  <c r="C71" i="4"/>
  <c r="C68" i="4"/>
  <c r="C65" i="4"/>
  <c r="C62" i="4"/>
  <c r="C48" i="7"/>
  <c r="C45" i="7"/>
  <c r="C42" i="7"/>
  <c r="C39" i="7"/>
  <c r="C36" i="7"/>
  <c r="C33" i="7"/>
  <c r="C30" i="7"/>
  <c r="C27" i="7"/>
  <c r="C24" i="7"/>
  <c r="C21" i="7"/>
  <c r="C18" i="7"/>
  <c r="C15" i="7"/>
  <c r="C12" i="7"/>
  <c r="C48" i="26"/>
  <c r="C45" i="26"/>
  <c r="C42" i="26"/>
  <c r="C39" i="26"/>
  <c r="C36" i="26"/>
  <c r="C33" i="26"/>
  <c r="C30" i="26"/>
  <c r="C27" i="26"/>
  <c r="C24" i="26"/>
  <c r="C21" i="26"/>
  <c r="C18" i="26"/>
  <c r="C15" i="26"/>
  <c r="C12" i="26"/>
  <c r="C48" i="29"/>
  <c r="C45" i="29"/>
  <c r="C42" i="29"/>
  <c r="C39" i="29"/>
  <c r="C36" i="29"/>
  <c r="C33" i="29"/>
  <c r="C30" i="29"/>
  <c r="C27" i="29"/>
  <c r="C24" i="29"/>
  <c r="C21" i="29"/>
  <c r="C18" i="29"/>
  <c r="C15" i="29"/>
  <c r="C12" i="29"/>
  <c r="C48" i="25"/>
  <c r="C45" i="25"/>
  <c r="C42" i="25"/>
  <c r="C39" i="25"/>
  <c r="C36" i="25"/>
  <c r="C33" i="25"/>
  <c r="C30" i="25"/>
  <c r="C27" i="25"/>
  <c r="C24" i="25"/>
  <c r="C21" i="25"/>
  <c r="C18" i="25"/>
  <c r="C15" i="25"/>
  <c r="C12" i="25"/>
  <c r="J52" i="30" l="1"/>
  <c r="K52" i="30" s="1"/>
  <c r="M102" i="23"/>
  <c r="I52" i="23"/>
  <c r="J52" i="23" s="1"/>
  <c r="K52" i="23" s="1"/>
  <c r="J152" i="13"/>
  <c r="K152" i="13" s="1"/>
  <c r="L152" i="13" s="1"/>
  <c r="H52" i="13"/>
  <c r="I52" i="13" s="1"/>
  <c r="J52" i="13" s="1"/>
  <c r="I102" i="13"/>
  <c r="L108" i="8"/>
  <c r="M107" i="8"/>
  <c r="M108" i="8" s="1"/>
  <c r="H152" i="8"/>
  <c r="I152" i="8" s="1"/>
  <c r="I52" i="8"/>
  <c r="G102" i="8"/>
  <c r="H102" i="8" s="1"/>
  <c r="L58" i="8"/>
  <c r="M57" i="8"/>
  <c r="M58" i="8" s="1"/>
  <c r="L52" i="30" l="1"/>
  <c r="M52" i="30" s="1"/>
  <c r="L52" i="23"/>
  <c r="M52" i="23" s="1"/>
  <c r="J102" i="13"/>
  <c r="K102" i="13" s="1"/>
  <c r="M152" i="13"/>
  <c r="K52" i="13"/>
  <c r="L52" i="13" s="1"/>
  <c r="M52" i="13" s="1"/>
  <c r="J52" i="8"/>
  <c r="K52" i="8" s="1"/>
  <c r="I102" i="8"/>
  <c r="J102" i="8" s="1"/>
  <c r="J152" i="8"/>
  <c r="K152" i="8" s="1"/>
  <c r="V110" i="4"/>
  <c r="L102" i="13" l="1"/>
  <c r="M102" i="13" s="1"/>
  <c r="L52" i="8"/>
  <c r="M52" i="8" s="1"/>
  <c r="L152" i="8"/>
  <c r="M152" i="8" s="1"/>
  <c r="K102" i="8"/>
  <c r="V10" i="4"/>
  <c r="L102" i="8" l="1"/>
  <c r="M102" i="8" s="1"/>
  <c r="B50" i="4"/>
  <c r="C50" i="4" s="1"/>
  <c r="B47" i="4"/>
  <c r="C47" i="4" s="1"/>
  <c r="B44" i="4"/>
  <c r="C44" i="4" s="1"/>
  <c r="B41" i="4"/>
  <c r="C41" i="4" s="1"/>
  <c r="B38" i="4"/>
  <c r="C38" i="4" s="1"/>
  <c r="B35" i="4"/>
  <c r="C35" i="4" s="1"/>
  <c r="B32" i="4"/>
  <c r="C32" i="4" s="1"/>
  <c r="B29" i="4"/>
  <c r="C29" i="4" s="1"/>
  <c r="B26" i="4"/>
  <c r="C26" i="4" s="1"/>
  <c r="B23" i="4"/>
  <c r="C23" i="4" s="1"/>
  <c r="B20" i="4"/>
  <c r="C20" i="4" s="1"/>
  <c r="B17" i="4"/>
  <c r="C17" i="4" s="1"/>
  <c r="B14" i="4"/>
  <c r="C14" i="4" s="1"/>
  <c r="B11" i="4"/>
  <c r="C11" i="4" s="1"/>
  <c r="B100" i="4"/>
  <c r="C100" i="4" s="1"/>
  <c r="B97" i="4"/>
  <c r="C97" i="4" s="1"/>
  <c r="B94" i="4"/>
  <c r="C94" i="4" s="1"/>
  <c r="B91" i="4"/>
  <c r="C91" i="4" s="1"/>
  <c r="B88" i="4"/>
  <c r="C88" i="4" s="1"/>
  <c r="B85" i="4"/>
  <c r="C85" i="4" s="1"/>
  <c r="B82" i="4"/>
  <c r="C82" i="4" s="1"/>
  <c r="B79" i="4"/>
  <c r="C79" i="4" s="1"/>
  <c r="B76" i="4"/>
  <c r="C76" i="4" s="1"/>
  <c r="B73" i="4"/>
  <c r="C73" i="4" s="1"/>
  <c r="B70" i="4"/>
  <c r="C70" i="4" s="1"/>
  <c r="B67" i="4"/>
  <c r="C67" i="4" s="1"/>
  <c r="B64" i="4"/>
  <c r="C64" i="4" s="1"/>
  <c r="B61" i="4"/>
  <c r="C61" i="4" s="1"/>
  <c r="B144" i="4"/>
  <c r="C144" i="4" s="1"/>
  <c r="B141" i="4"/>
  <c r="C141" i="4" s="1"/>
  <c r="B138" i="4"/>
  <c r="C138" i="4" s="1"/>
  <c r="B135" i="4"/>
  <c r="C135" i="4" s="1"/>
  <c r="B132" i="4"/>
  <c r="C132" i="4" s="1"/>
  <c r="B129" i="4"/>
  <c r="C129" i="4" s="1"/>
  <c r="B126" i="4"/>
  <c r="C126" i="4" s="1"/>
  <c r="B123" i="4"/>
  <c r="C123" i="4" s="1"/>
  <c r="B120" i="4"/>
  <c r="C120" i="4" s="1"/>
  <c r="B117" i="4"/>
  <c r="C117" i="4" s="1"/>
  <c r="B114" i="4"/>
  <c r="C114" i="4" s="1"/>
  <c r="B111" i="4"/>
  <c r="C111" i="4" s="1"/>
  <c r="B147" i="4"/>
  <c r="C147" i="4" s="1"/>
  <c r="B150" i="4"/>
  <c r="C150" i="4" s="1"/>
  <c r="C150" i="25" l="1"/>
  <c r="B147" i="25"/>
  <c r="C147" i="25" s="1"/>
  <c r="B144" i="25"/>
  <c r="C144" i="25" s="1"/>
  <c r="B141" i="25"/>
  <c r="C141" i="25" s="1"/>
  <c r="B138" i="25"/>
  <c r="C138" i="25" s="1"/>
  <c r="B135" i="25"/>
  <c r="C135" i="25" s="1"/>
  <c r="B132" i="25"/>
  <c r="C132" i="25" s="1"/>
  <c r="B129" i="25"/>
  <c r="C129" i="25" s="1"/>
  <c r="B126" i="25"/>
  <c r="C126" i="25" s="1"/>
  <c r="B123" i="25"/>
  <c r="C123" i="25" s="1"/>
  <c r="B120" i="25"/>
  <c r="C120" i="25" s="1"/>
  <c r="B117" i="25"/>
  <c r="C117" i="25" s="1"/>
  <c r="B114" i="25"/>
  <c r="C114" i="25" s="1"/>
  <c r="B111" i="25"/>
  <c r="C111" i="25" s="1"/>
  <c r="C100" i="25"/>
  <c r="B97" i="25"/>
  <c r="C97" i="25" s="1"/>
  <c r="B94" i="25"/>
  <c r="C94" i="25" s="1"/>
  <c r="B91" i="25"/>
  <c r="C91" i="25" s="1"/>
  <c r="B88" i="25"/>
  <c r="C88" i="25" s="1"/>
  <c r="B85" i="25"/>
  <c r="C85" i="25" s="1"/>
  <c r="B82" i="25"/>
  <c r="C82" i="25" s="1"/>
  <c r="B79" i="25"/>
  <c r="C79" i="25" s="1"/>
  <c r="B76" i="25"/>
  <c r="C76" i="25" s="1"/>
  <c r="B73" i="25"/>
  <c r="C73" i="25" s="1"/>
  <c r="B70" i="25"/>
  <c r="C70" i="25" s="1"/>
  <c r="B67" i="25"/>
  <c r="C67" i="25" s="1"/>
  <c r="B64" i="25"/>
  <c r="C64" i="25" s="1"/>
  <c r="B61" i="25"/>
  <c r="E63" i="25" s="1"/>
  <c r="B50" i="25"/>
  <c r="C50" i="25" s="1"/>
  <c r="B47" i="25"/>
  <c r="C47" i="25" s="1"/>
  <c r="B44" i="25"/>
  <c r="C44" i="25" s="1"/>
  <c r="B41" i="25"/>
  <c r="C41" i="25" s="1"/>
  <c r="B38" i="25"/>
  <c r="C38" i="25" s="1"/>
  <c r="B35" i="25"/>
  <c r="C35" i="25" s="1"/>
  <c r="B32" i="25"/>
  <c r="C32" i="25" s="1"/>
  <c r="B29" i="25"/>
  <c r="C29" i="25" s="1"/>
  <c r="B26" i="25"/>
  <c r="C26" i="25" s="1"/>
  <c r="B23" i="25"/>
  <c r="C23" i="25" s="1"/>
  <c r="B20" i="25"/>
  <c r="C20" i="25" s="1"/>
  <c r="B17" i="25"/>
  <c r="C17" i="25" s="1"/>
  <c r="B14" i="25"/>
  <c r="C14" i="25" s="1"/>
  <c r="B11" i="25"/>
  <c r="C11" i="25" s="1"/>
  <c r="C151" i="25"/>
  <c r="F151" i="25" s="1"/>
  <c r="G151" i="25" s="1"/>
  <c r="H151" i="25" s="1"/>
  <c r="I151" i="25" s="1"/>
  <c r="J151" i="25" s="1"/>
  <c r="K151" i="25" s="1"/>
  <c r="L151" i="25" s="1"/>
  <c r="M151" i="25" s="1"/>
  <c r="W150" i="25"/>
  <c r="E151" i="25"/>
  <c r="A150" i="25"/>
  <c r="C148" i="25"/>
  <c r="W147" i="25"/>
  <c r="A147" i="25"/>
  <c r="C145" i="25"/>
  <c r="W144" i="25"/>
  <c r="E145" i="25"/>
  <c r="A144" i="25"/>
  <c r="C142" i="25"/>
  <c r="W141" i="25"/>
  <c r="A141" i="25"/>
  <c r="E140" i="25"/>
  <c r="C139" i="25"/>
  <c r="W138" i="25"/>
  <c r="A138" i="25"/>
  <c r="C136" i="25"/>
  <c r="D136" i="25" s="1"/>
  <c r="E135" i="25" s="1"/>
  <c r="W135" i="25"/>
  <c r="E137" i="25"/>
  <c r="A135" i="25"/>
  <c r="C133" i="25"/>
  <c r="W132" i="25"/>
  <c r="A132" i="25"/>
  <c r="C130" i="25"/>
  <c r="W129" i="25"/>
  <c r="E131" i="25"/>
  <c r="A129" i="25"/>
  <c r="E128" i="25"/>
  <c r="C127" i="25"/>
  <c r="W126" i="25"/>
  <c r="A126" i="25"/>
  <c r="C124" i="25"/>
  <c r="W123" i="25"/>
  <c r="A123" i="25"/>
  <c r="E122" i="25"/>
  <c r="C121" i="25"/>
  <c r="W120" i="25"/>
  <c r="A120" i="25"/>
  <c r="C118" i="25"/>
  <c r="W117" i="25"/>
  <c r="A117" i="25"/>
  <c r="E116" i="25"/>
  <c r="C115" i="25"/>
  <c r="W114" i="25"/>
  <c r="A114" i="25"/>
  <c r="C112" i="25"/>
  <c r="D112" i="25" s="1"/>
  <c r="E111" i="25" s="1"/>
  <c r="W111" i="25"/>
  <c r="E113" i="25"/>
  <c r="A111" i="25"/>
  <c r="I107" i="25"/>
  <c r="I108" i="25" s="1"/>
  <c r="C101" i="25"/>
  <c r="F101" i="25" s="1"/>
  <c r="G101" i="25" s="1"/>
  <c r="H101" i="25" s="1"/>
  <c r="I101" i="25" s="1"/>
  <c r="J101" i="25" s="1"/>
  <c r="K101" i="25" s="1"/>
  <c r="L101" i="25" s="1"/>
  <c r="M101" i="25" s="1"/>
  <c r="W100" i="25"/>
  <c r="E102" i="25"/>
  <c r="A100" i="25"/>
  <c r="E98" i="25"/>
  <c r="C98" i="25"/>
  <c r="W97" i="25"/>
  <c r="A97" i="25"/>
  <c r="E95" i="25"/>
  <c r="C95" i="25"/>
  <c r="W94" i="25"/>
  <c r="A94" i="25"/>
  <c r="E92" i="25"/>
  <c r="C92" i="25"/>
  <c r="W91" i="25"/>
  <c r="A91" i="25"/>
  <c r="E89" i="25"/>
  <c r="C89" i="25"/>
  <c r="W88" i="25"/>
  <c r="A88" i="25"/>
  <c r="E86" i="25"/>
  <c r="C86" i="25"/>
  <c r="W85" i="25"/>
  <c r="A85" i="25"/>
  <c r="E83" i="25"/>
  <c r="C83" i="25"/>
  <c r="D83" i="25" s="1"/>
  <c r="E82" i="25" s="1"/>
  <c r="W82" i="25"/>
  <c r="A82" i="25"/>
  <c r="E80" i="25"/>
  <c r="C80" i="25"/>
  <c r="W79" i="25"/>
  <c r="A79" i="25"/>
  <c r="E77" i="25"/>
  <c r="C77" i="25"/>
  <c r="W76" i="25"/>
  <c r="A76" i="25"/>
  <c r="E74" i="25"/>
  <c r="C74" i="25"/>
  <c r="W73" i="25"/>
  <c r="A73" i="25"/>
  <c r="E71" i="25"/>
  <c r="C71" i="25"/>
  <c r="D71" i="25" s="1"/>
  <c r="E70" i="25" s="1"/>
  <c r="W70" i="25"/>
  <c r="A70" i="25"/>
  <c r="E68" i="25"/>
  <c r="C68" i="25"/>
  <c r="W67" i="25"/>
  <c r="A67" i="25"/>
  <c r="E65" i="25"/>
  <c r="C65" i="25"/>
  <c r="W64" i="25"/>
  <c r="A64" i="25"/>
  <c r="C62" i="25"/>
  <c r="W61" i="25"/>
  <c r="A61" i="25"/>
  <c r="I57" i="25"/>
  <c r="J57" i="25" s="1"/>
  <c r="K57" i="25" s="1"/>
  <c r="C51" i="25"/>
  <c r="F51" i="25" s="1"/>
  <c r="G51" i="25" s="1"/>
  <c r="H51" i="25" s="1"/>
  <c r="I51" i="25" s="1"/>
  <c r="J51" i="25" s="1"/>
  <c r="K51" i="25" s="1"/>
  <c r="L51" i="25" s="1"/>
  <c r="M51" i="25" s="1"/>
  <c r="W50" i="25"/>
  <c r="A50" i="25"/>
  <c r="E48" i="25"/>
  <c r="W47" i="25"/>
  <c r="A47" i="25"/>
  <c r="E45" i="25"/>
  <c r="W44" i="25"/>
  <c r="A44" i="25"/>
  <c r="E42" i="25"/>
  <c r="W41" i="25"/>
  <c r="A41" i="25"/>
  <c r="E39" i="25"/>
  <c r="W38" i="25"/>
  <c r="A38" i="25"/>
  <c r="E36" i="25"/>
  <c r="W35" i="25"/>
  <c r="A35" i="25"/>
  <c r="E33" i="25"/>
  <c r="W32" i="25"/>
  <c r="A32" i="25"/>
  <c r="E30" i="25"/>
  <c r="W29" i="25"/>
  <c r="A29" i="25"/>
  <c r="E27" i="25"/>
  <c r="D27" i="25"/>
  <c r="E26" i="25" s="1"/>
  <c r="W26" i="25"/>
  <c r="A26" i="25"/>
  <c r="E24" i="25"/>
  <c r="W23" i="25"/>
  <c r="A23" i="25"/>
  <c r="E21" i="25"/>
  <c r="W20" i="25"/>
  <c r="A20" i="25"/>
  <c r="E18" i="25"/>
  <c r="W17" i="25"/>
  <c r="A17" i="25"/>
  <c r="E15" i="25"/>
  <c r="D15" i="25"/>
  <c r="E14" i="25" s="1"/>
  <c r="W14" i="25"/>
  <c r="A14" i="25"/>
  <c r="W11" i="25"/>
  <c r="A11" i="25"/>
  <c r="I7" i="25"/>
  <c r="I8" i="25" s="1"/>
  <c r="E151" i="4"/>
  <c r="C151" i="4"/>
  <c r="F151" i="4" s="1"/>
  <c r="G151" i="4" s="1"/>
  <c r="H151" i="4" s="1"/>
  <c r="I151" i="4" s="1"/>
  <c r="J151" i="4" s="1"/>
  <c r="K151" i="4" s="1"/>
  <c r="L151" i="4" s="1"/>
  <c r="M151" i="4" s="1"/>
  <c r="W150" i="4"/>
  <c r="E152" i="4"/>
  <c r="A150" i="4"/>
  <c r="W147" i="4"/>
  <c r="E149" i="4"/>
  <c r="A147" i="4"/>
  <c r="E145" i="4"/>
  <c r="D145" i="4"/>
  <c r="E144" i="4" s="1"/>
  <c r="W144" i="4"/>
  <c r="E146" i="4"/>
  <c r="A144" i="4"/>
  <c r="W141" i="4"/>
  <c r="A141" i="4"/>
  <c r="E139" i="4"/>
  <c r="D139" i="4"/>
  <c r="E138" i="4" s="1"/>
  <c r="W138" i="4"/>
  <c r="E140" i="4"/>
  <c r="A138" i="4"/>
  <c r="W135" i="4"/>
  <c r="A135" i="4"/>
  <c r="E133" i="4"/>
  <c r="D133" i="4"/>
  <c r="E132" i="4" s="1"/>
  <c r="W132" i="4"/>
  <c r="E134" i="4"/>
  <c r="A132" i="4"/>
  <c r="W129" i="4"/>
  <c r="A129" i="4"/>
  <c r="E127" i="4"/>
  <c r="D127" i="4"/>
  <c r="E126" i="4" s="1"/>
  <c r="W126" i="4"/>
  <c r="E128" i="4"/>
  <c r="A126" i="4"/>
  <c r="E125" i="4"/>
  <c r="W123" i="4"/>
  <c r="A123" i="4"/>
  <c r="E121" i="4"/>
  <c r="D121" i="4"/>
  <c r="E120" i="4" s="1"/>
  <c r="W120" i="4"/>
  <c r="E122" i="4"/>
  <c r="A120" i="4"/>
  <c r="W117" i="4"/>
  <c r="A117" i="4"/>
  <c r="E115" i="4"/>
  <c r="D115" i="4"/>
  <c r="E114" i="4" s="1"/>
  <c r="W114" i="4"/>
  <c r="E116" i="4"/>
  <c r="A114" i="4"/>
  <c r="E112" i="4"/>
  <c r="W111" i="4"/>
  <c r="A111" i="4"/>
  <c r="I107" i="4"/>
  <c r="E101" i="4"/>
  <c r="C101" i="4"/>
  <c r="F101" i="4" s="1"/>
  <c r="G101" i="4" s="1"/>
  <c r="H101" i="4" s="1"/>
  <c r="I101" i="4" s="1"/>
  <c r="J101" i="4" s="1"/>
  <c r="K101" i="4" s="1"/>
  <c r="L101" i="4" s="1"/>
  <c r="M101" i="4" s="1"/>
  <c r="W100" i="4"/>
  <c r="A100" i="4"/>
  <c r="E98" i="4"/>
  <c r="W97" i="4"/>
  <c r="A97" i="4"/>
  <c r="E95" i="4"/>
  <c r="D95" i="4"/>
  <c r="E94" i="4" s="1"/>
  <c r="W94" i="4"/>
  <c r="A94" i="4"/>
  <c r="E92" i="4"/>
  <c r="D92" i="4"/>
  <c r="E91" i="4" s="1"/>
  <c r="W91" i="4"/>
  <c r="A91" i="4"/>
  <c r="E89" i="4"/>
  <c r="W88" i="4"/>
  <c r="A88" i="4"/>
  <c r="E86" i="4"/>
  <c r="W85" i="4"/>
  <c r="A85" i="4"/>
  <c r="E83" i="4"/>
  <c r="D83" i="4"/>
  <c r="E82" i="4" s="1"/>
  <c r="W82" i="4"/>
  <c r="A82" i="4"/>
  <c r="E80" i="4"/>
  <c r="D80" i="4"/>
  <c r="E79" i="4" s="1"/>
  <c r="W79" i="4"/>
  <c r="A79" i="4"/>
  <c r="E77" i="4"/>
  <c r="W76" i="4"/>
  <c r="A76" i="4"/>
  <c r="E74" i="4"/>
  <c r="W73" i="4"/>
  <c r="A73" i="4"/>
  <c r="E71" i="4"/>
  <c r="D71" i="4"/>
  <c r="E70" i="4" s="1"/>
  <c r="W70" i="4"/>
  <c r="A70" i="4"/>
  <c r="E68" i="4"/>
  <c r="D68" i="4"/>
  <c r="E67" i="4" s="1"/>
  <c r="W67" i="4"/>
  <c r="A67" i="4"/>
  <c r="E65" i="4"/>
  <c r="W64" i="4"/>
  <c r="A64" i="4"/>
  <c r="E63" i="4"/>
  <c r="W61" i="4"/>
  <c r="E62" i="4"/>
  <c r="A61" i="4"/>
  <c r="I57" i="4"/>
  <c r="J57" i="4" s="1"/>
  <c r="C51" i="4"/>
  <c r="F51" i="4" s="1"/>
  <c r="G51" i="4" s="1"/>
  <c r="H51" i="4" s="1"/>
  <c r="I51" i="4" s="1"/>
  <c r="J51" i="4" s="1"/>
  <c r="K51" i="4" s="1"/>
  <c r="L51" i="4" s="1"/>
  <c r="M51" i="4" s="1"/>
  <c r="W50" i="4"/>
  <c r="A50" i="4"/>
  <c r="E48" i="4"/>
  <c r="C48" i="4"/>
  <c r="D48" i="4" s="1"/>
  <c r="E47" i="4" s="1"/>
  <c r="W47" i="4"/>
  <c r="A47" i="4"/>
  <c r="E45" i="4"/>
  <c r="C45" i="4"/>
  <c r="W44" i="4"/>
  <c r="A44" i="4"/>
  <c r="E42" i="4"/>
  <c r="C42" i="4"/>
  <c r="D42" i="4" s="1"/>
  <c r="E41" i="4" s="1"/>
  <c r="W41" i="4"/>
  <c r="A41" i="4"/>
  <c r="E39" i="4"/>
  <c r="C39" i="4"/>
  <c r="W38" i="4"/>
  <c r="A38" i="4"/>
  <c r="E36" i="4"/>
  <c r="C36" i="4"/>
  <c r="D36" i="4" s="1"/>
  <c r="E35" i="4" s="1"/>
  <c r="W35" i="4"/>
  <c r="A35" i="4"/>
  <c r="E33" i="4"/>
  <c r="C33" i="4"/>
  <c r="W32" i="4"/>
  <c r="A32" i="4"/>
  <c r="E30" i="4"/>
  <c r="C30" i="4"/>
  <c r="D30" i="4" s="1"/>
  <c r="E29" i="4" s="1"/>
  <c r="W29" i="4"/>
  <c r="A29" i="4"/>
  <c r="E27" i="4"/>
  <c r="C27" i="4"/>
  <c r="W26" i="4"/>
  <c r="A26" i="4"/>
  <c r="E24" i="4"/>
  <c r="C24" i="4"/>
  <c r="D24" i="4" s="1"/>
  <c r="E23" i="4" s="1"/>
  <c r="W23" i="4"/>
  <c r="A23" i="4"/>
  <c r="E21" i="4"/>
  <c r="C21" i="4"/>
  <c r="W20" i="4"/>
  <c r="A20" i="4"/>
  <c r="E18" i="4"/>
  <c r="C18" i="4"/>
  <c r="D18" i="4" s="1"/>
  <c r="E17" i="4" s="1"/>
  <c r="W17" i="4"/>
  <c r="A17" i="4"/>
  <c r="E15" i="4"/>
  <c r="C15" i="4"/>
  <c r="W14" i="4"/>
  <c r="A14" i="4"/>
  <c r="E12" i="4"/>
  <c r="C12" i="4"/>
  <c r="D12" i="4" s="1"/>
  <c r="E11" i="4" s="1"/>
  <c r="W11" i="4"/>
  <c r="E13" i="4"/>
  <c r="A11" i="4"/>
  <c r="I7" i="4"/>
  <c r="I8" i="4" s="1"/>
  <c r="D65" i="25" l="1"/>
  <c r="E64" i="25" s="1"/>
  <c r="D89" i="25"/>
  <c r="E88" i="25" s="1"/>
  <c r="D88" i="25" s="1"/>
  <c r="E87" i="25" s="1"/>
  <c r="E149" i="25"/>
  <c r="D39" i="25"/>
  <c r="E38" i="25" s="1"/>
  <c r="E125" i="25"/>
  <c r="D148" i="25"/>
  <c r="E147" i="25" s="1"/>
  <c r="D147" i="25" s="1"/>
  <c r="D124" i="25"/>
  <c r="E123" i="25" s="1"/>
  <c r="E52" i="25"/>
  <c r="D68" i="25"/>
  <c r="E67" i="25" s="1"/>
  <c r="D92" i="25"/>
  <c r="E91" i="25" s="1"/>
  <c r="D91" i="25" s="1"/>
  <c r="E90" i="25" s="1"/>
  <c r="E12" i="25"/>
  <c r="D21" i="25"/>
  <c r="E20" i="25" s="1"/>
  <c r="D45" i="25"/>
  <c r="E44" i="25" s="1"/>
  <c r="D44" i="25" s="1"/>
  <c r="E43" i="25" s="1"/>
  <c r="E134" i="25"/>
  <c r="E13" i="25"/>
  <c r="J107" i="25"/>
  <c r="I58" i="25"/>
  <c r="E62" i="25"/>
  <c r="C61" i="25"/>
  <c r="D74" i="25"/>
  <c r="E73" i="25" s="1"/>
  <c r="D73" i="25" s="1"/>
  <c r="E72" i="25" s="1"/>
  <c r="D86" i="25"/>
  <c r="E85" i="25" s="1"/>
  <c r="D85" i="25" s="1"/>
  <c r="E84" i="25" s="1"/>
  <c r="D62" i="25"/>
  <c r="E61" i="25" s="1"/>
  <c r="D118" i="25"/>
  <c r="E117" i="25" s="1"/>
  <c r="D117" i="25" s="1"/>
  <c r="D130" i="25"/>
  <c r="E129" i="25" s="1"/>
  <c r="D129" i="25" s="1"/>
  <c r="E119" i="25"/>
  <c r="D138" i="4"/>
  <c r="D70" i="4"/>
  <c r="E69" i="4" s="1"/>
  <c r="D79" i="4"/>
  <c r="E78" i="4" s="1"/>
  <c r="D82" i="4"/>
  <c r="E81" i="4" s="1"/>
  <c r="D91" i="4"/>
  <c r="E90" i="4" s="1"/>
  <c r="D41" i="4"/>
  <c r="E40" i="4" s="1"/>
  <c r="D151" i="4"/>
  <c r="E150" i="4" s="1"/>
  <c r="D150" i="4" s="1"/>
  <c r="D144" i="4"/>
  <c r="D132" i="4"/>
  <c r="D126" i="4"/>
  <c r="D124" i="4"/>
  <c r="E123" i="4" s="1"/>
  <c r="D21" i="4"/>
  <c r="E20" i="4" s="1"/>
  <c r="D20" i="4" s="1"/>
  <c r="E19" i="4" s="1"/>
  <c r="D17" i="4"/>
  <c r="E16" i="4" s="1"/>
  <c r="D47" i="4"/>
  <c r="E46" i="4" s="1"/>
  <c r="D94" i="4"/>
  <c r="E93" i="4" s="1"/>
  <c r="D27" i="4"/>
  <c r="E26" i="4" s="1"/>
  <c r="D45" i="4"/>
  <c r="E44" i="4" s="1"/>
  <c r="D44" i="4" s="1"/>
  <c r="E43" i="4" s="1"/>
  <c r="D51" i="4"/>
  <c r="E50" i="4" s="1"/>
  <c r="D67" i="4"/>
  <c r="E66" i="4" s="1"/>
  <c r="D74" i="4"/>
  <c r="E73" i="4" s="1"/>
  <c r="D114" i="4"/>
  <c r="D112" i="4"/>
  <c r="E111" i="4" s="1"/>
  <c r="D111" i="4" s="1"/>
  <c r="D86" i="4"/>
  <c r="E85" i="4" s="1"/>
  <c r="D98" i="4"/>
  <c r="E97" i="4" s="1"/>
  <c r="D15" i="4"/>
  <c r="E14" i="4" s="1"/>
  <c r="D29" i="4"/>
  <c r="E28" i="4" s="1"/>
  <c r="D39" i="4"/>
  <c r="E38" i="4" s="1"/>
  <c r="D23" i="4"/>
  <c r="E22" i="4" s="1"/>
  <c r="D67" i="25"/>
  <c r="E66" i="25" s="1"/>
  <c r="J58" i="25"/>
  <c r="J7" i="25"/>
  <c r="J8" i="25" s="1"/>
  <c r="D80" i="25"/>
  <c r="E79" i="25" s="1"/>
  <c r="D79" i="25" s="1"/>
  <c r="E78" i="25" s="1"/>
  <c r="D111" i="25"/>
  <c r="D123" i="25"/>
  <c r="D135" i="25"/>
  <c r="D98" i="25"/>
  <c r="E97" i="25" s="1"/>
  <c r="D97" i="25" s="1"/>
  <c r="E96" i="25" s="1"/>
  <c r="D77" i="25"/>
  <c r="E76" i="25" s="1"/>
  <c r="D38" i="25"/>
  <c r="E37" i="25" s="1"/>
  <c r="D33" i="25"/>
  <c r="E32" i="25" s="1"/>
  <c r="E143" i="25"/>
  <c r="D142" i="25"/>
  <c r="E141" i="25" s="1"/>
  <c r="D141" i="25" s="1"/>
  <c r="D20" i="25"/>
  <c r="E19" i="25" s="1"/>
  <c r="D14" i="25"/>
  <c r="D26" i="25"/>
  <c r="E25" i="25" s="1"/>
  <c r="K58" i="25"/>
  <c r="L57" i="25"/>
  <c r="F102" i="25"/>
  <c r="D30" i="25"/>
  <c r="E29" i="25" s="1"/>
  <c r="D24" i="25"/>
  <c r="E23" i="25" s="1"/>
  <c r="D51" i="25"/>
  <c r="E50" i="25" s="1"/>
  <c r="D50" i="25" s="1"/>
  <c r="E49" i="25" s="1"/>
  <c r="D70" i="25"/>
  <c r="E69" i="25" s="1"/>
  <c r="D12" i="25"/>
  <c r="E11" i="25" s="1"/>
  <c r="D11" i="25" s="1"/>
  <c r="D18" i="25"/>
  <c r="E17" i="25" s="1"/>
  <c r="D42" i="25"/>
  <c r="E41" i="25" s="1"/>
  <c r="D95" i="25"/>
  <c r="E94" i="25" s="1"/>
  <c r="D94" i="25" s="1"/>
  <c r="E93" i="25" s="1"/>
  <c r="J108" i="25"/>
  <c r="K107" i="25"/>
  <c r="F152" i="25" s="1"/>
  <c r="D36" i="25"/>
  <c r="E35" i="25" s="1"/>
  <c r="D48" i="25"/>
  <c r="E47" i="25" s="1"/>
  <c r="D82" i="25"/>
  <c r="E81" i="25" s="1"/>
  <c r="E115" i="25"/>
  <c r="D115" i="25"/>
  <c r="E114" i="25" s="1"/>
  <c r="E121" i="25"/>
  <c r="D121" i="25"/>
  <c r="E120" i="25" s="1"/>
  <c r="E127" i="25"/>
  <c r="D127" i="25"/>
  <c r="E126" i="25" s="1"/>
  <c r="E133" i="25"/>
  <c r="D133" i="25"/>
  <c r="E132" i="25" s="1"/>
  <c r="E139" i="25"/>
  <c r="D139" i="25"/>
  <c r="E138" i="25" s="1"/>
  <c r="E146" i="25"/>
  <c r="E152" i="25"/>
  <c r="E51" i="25"/>
  <c r="D101" i="25"/>
  <c r="E100" i="25" s="1"/>
  <c r="D100" i="25" s="1"/>
  <c r="E99" i="25" s="1"/>
  <c r="E112" i="25"/>
  <c r="E118" i="25"/>
  <c r="E124" i="25"/>
  <c r="E130" i="25"/>
  <c r="E136" i="25"/>
  <c r="E142" i="25"/>
  <c r="E148" i="25"/>
  <c r="E101" i="25"/>
  <c r="D145" i="25"/>
  <c r="E144" i="25" s="1"/>
  <c r="D151" i="25"/>
  <c r="E150" i="25" s="1"/>
  <c r="D120" i="4"/>
  <c r="J58" i="4"/>
  <c r="K57" i="4"/>
  <c r="D35" i="4"/>
  <c r="E34" i="4" s="1"/>
  <c r="D33" i="4"/>
  <c r="E32" i="4" s="1"/>
  <c r="E51" i="4"/>
  <c r="I58" i="4"/>
  <c r="J7" i="4"/>
  <c r="D118" i="4"/>
  <c r="E117" i="4" s="1"/>
  <c r="F102" i="4"/>
  <c r="E113" i="4"/>
  <c r="E118" i="4"/>
  <c r="E136" i="4"/>
  <c r="D136" i="4"/>
  <c r="E135" i="4" s="1"/>
  <c r="E137" i="4"/>
  <c r="E142" i="4"/>
  <c r="D142" i="4"/>
  <c r="E141" i="4" s="1"/>
  <c r="D141" i="4" s="1"/>
  <c r="E143" i="4"/>
  <c r="D11" i="4"/>
  <c r="D62" i="4"/>
  <c r="E61" i="4" s="1"/>
  <c r="D65" i="4"/>
  <c r="E64" i="4" s="1"/>
  <c r="D64" i="4" s="1"/>
  <c r="D77" i="4"/>
  <c r="E76" i="4" s="1"/>
  <c r="D76" i="4" s="1"/>
  <c r="E75" i="4" s="1"/>
  <c r="D89" i="4"/>
  <c r="E88" i="4" s="1"/>
  <c r="D88" i="4" s="1"/>
  <c r="E87" i="4" s="1"/>
  <c r="D101" i="4"/>
  <c r="E100" i="4" s="1"/>
  <c r="E102" i="4"/>
  <c r="E119" i="4"/>
  <c r="E124" i="4"/>
  <c r="E130" i="4"/>
  <c r="D130" i="4"/>
  <c r="E129" i="4" s="1"/>
  <c r="D129" i="4" s="1"/>
  <c r="E131" i="4"/>
  <c r="E52" i="4"/>
  <c r="I108" i="4"/>
  <c r="J107" i="4"/>
  <c r="E148" i="4"/>
  <c r="D148" i="4"/>
  <c r="E147" i="4" s="1"/>
  <c r="A11" i="7"/>
  <c r="C151" i="7"/>
  <c r="F151" i="7" s="1"/>
  <c r="G151" i="7" s="1"/>
  <c r="H151" i="7" s="1"/>
  <c r="I151" i="7" s="1"/>
  <c r="J151" i="7" s="1"/>
  <c r="K151" i="7" s="1"/>
  <c r="L151" i="7" s="1"/>
  <c r="M151" i="7" s="1"/>
  <c r="W150" i="7"/>
  <c r="A150" i="7"/>
  <c r="W147" i="7"/>
  <c r="A147" i="7"/>
  <c r="W144" i="7"/>
  <c r="A144" i="7"/>
  <c r="W141" i="7"/>
  <c r="A141" i="7"/>
  <c r="W138" i="7"/>
  <c r="A138" i="7"/>
  <c r="W135" i="7"/>
  <c r="A135" i="7"/>
  <c r="W132" i="7"/>
  <c r="A132" i="7"/>
  <c r="W129" i="7"/>
  <c r="A129" i="7"/>
  <c r="W126" i="7"/>
  <c r="A126" i="7"/>
  <c r="W123" i="7"/>
  <c r="A123" i="7"/>
  <c r="W120" i="7"/>
  <c r="A120" i="7"/>
  <c r="W117" i="7"/>
  <c r="A117" i="7"/>
  <c r="W114" i="7"/>
  <c r="A114" i="7"/>
  <c r="W111" i="7"/>
  <c r="A111" i="7"/>
  <c r="I107" i="7"/>
  <c r="I108" i="7" s="1"/>
  <c r="C101" i="7"/>
  <c r="F101" i="7" s="1"/>
  <c r="G101" i="7" s="1"/>
  <c r="H101" i="7" s="1"/>
  <c r="I101" i="7" s="1"/>
  <c r="J101" i="7" s="1"/>
  <c r="K101" i="7" s="1"/>
  <c r="L101" i="7" s="1"/>
  <c r="M101" i="7" s="1"/>
  <c r="W100" i="7"/>
  <c r="A100" i="7"/>
  <c r="E98" i="7"/>
  <c r="W97" i="7"/>
  <c r="A97" i="7"/>
  <c r="E95" i="7"/>
  <c r="W94" i="7"/>
  <c r="A94" i="7"/>
  <c r="E92" i="7"/>
  <c r="W91" i="7"/>
  <c r="A91" i="7"/>
  <c r="E89" i="7"/>
  <c r="W88" i="7"/>
  <c r="A88" i="7"/>
  <c r="E86" i="7"/>
  <c r="W85" i="7"/>
  <c r="A85" i="7"/>
  <c r="E83" i="7"/>
  <c r="W82" i="7"/>
  <c r="A82" i="7"/>
  <c r="E80" i="7"/>
  <c r="W79" i="7"/>
  <c r="A79" i="7"/>
  <c r="E77" i="7"/>
  <c r="W76" i="7"/>
  <c r="A76" i="7"/>
  <c r="E74" i="7"/>
  <c r="W73" i="7"/>
  <c r="A73" i="7"/>
  <c r="E71" i="7"/>
  <c r="W70" i="7"/>
  <c r="A70" i="7"/>
  <c r="E68" i="7"/>
  <c r="W67" i="7"/>
  <c r="A67" i="7"/>
  <c r="E65" i="7"/>
  <c r="W64" i="7"/>
  <c r="A64" i="7"/>
  <c r="W61" i="7"/>
  <c r="A61" i="7"/>
  <c r="I57" i="7"/>
  <c r="I58" i="7" s="1"/>
  <c r="C51" i="7"/>
  <c r="F51" i="7" s="1"/>
  <c r="G51" i="7" s="1"/>
  <c r="H51" i="7" s="1"/>
  <c r="I51" i="7" s="1"/>
  <c r="J51" i="7" s="1"/>
  <c r="K51" i="7" s="1"/>
  <c r="L51" i="7" s="1"/>
  <c r="M51" i="7" s="1"/>
  <c r="W50" i="7"/>
  <c r="A50" i="7"/>
  <c r="E48" i="7"/>
  <c r="W47" i="7"/>
  <c r="A47" i="7"/>
  <c r="E45" i="7"/>
  <c r="W44" i="7"/>
  <c r="A44" i="7"/>
  <c r="E42" i="7"/>
  <c r="W41" i="7"/>
  <c r="A41" i="7"/>
  <c r="E39" i="7"/>
  <c r="W38" i="7"/>
  <c r="A38" i="7"/>
  <c r="E36" i="7"/>
  <c r="W35" i="7"/>
  <c r="A35" i="7"/>
  <c r="E33" i="7"/>
  <c r="W32" i="7"/>
  <c r="A32" i="7"/>
  <c r="E30" i="7"/>
  <c r="W29" i="7"/>
  <c r="A29" i="7"/>
  <c r="E27" i="7"/>
  <c r="W26" i="7"/>
  <c r="A26" i="7"/>
  <c r="E24" i="7"/>
  <c r="W23" i="7"/>
  <c r="A23" i="7"/>
  <c r="E21" i="7"/>
  <c r="W20" i="7"/>
  <c r="A20" i="7"/>
  <c r="E18" i="7"/>
  <c r="W17" i="7"/>
  <c r="A17" i="7"/>
  <c r="E15" i="7"/>
  <c r="W14" i="7"/>
  <c r="A14" i="7"/>
  <c r="W11" i="7"/>
  <c r="I7" i="7"/>
  <c r="I8" i="7" s="1"/>
  <c r="D61" i="25" l="1"/>
  <c r="D85" i="4"/>
  <c r="E84" i="4" s="1"/>
  <c r="D123" i="4"/>
  <c r="D73" i="4"/>
  <c r="E72" i="4" s="1"/>
  <c r="D50" i="4"/>
  <c r="E49" i="4" s="1"/>
  <c r="D38" i="4"/>
  <c r="E37" i="4" s="1"/>
  <c r="D32" i="4"/>
  <c r="E31" i="4" s="1"/>
  <c r="D14" i="4"/>
  <c r="D26" i="4"/>
  <c r="E25" i="4" s="1"/>
  <c r="E53" i="4"/>
  <c r="D135" i="4"/>
  <c r="E153" i="4"/>
  <c r="D147" i="4"/>
  <c r="D100" i="4"/>
  <c r="E99" i="4" s="1"/>
  <c r="D97" i="4"/>
  <c r="E96" i="4" s="1"/>
  <c r="D120" i="25"/>
  <c r="K7" i="25"/>
  <c r="L7" i="25" s="1"/>
  <c r="D76" i="25"/>
  <c r="E75" i="25" s="1"/>
  <c r="D17" i="25"/>
  <c r="E16" i="25" s="1"/>
  <c r="D32" i="25"/>
  <c r="E31" i="25" s="1"/>
  <c r="E153" i="25"/>
  <c r="D138" i="25"/>
  <c r="D47" i="25"/>
  <c r="E46" i="25" s="1"/>
  <c r="D23" i="25"/>
  <c r="E22" i="25" s="1"/>
  <c r="D114" i="25"/>
  <c r="C153" i="25"/>
  <c r="K108" i="25"/>
  <c r="L107" i="25"/>
  <c r="D144" i="25"/>
  <c r="E103" i="25"/>
  <c r="G152" i="25"/>
  <c r="D126" i="25"/>
  <c r="D35" i="25"/>
  <c r="E34" i="25" s="1"/>
  <c r="D29" i="25"/>
  <c r="E28" i="25" s="1"/>
  <c r="G102" i="25"/>
  <c r="D150" i="25"/>
  <c r="D132" i="25"/>
  <c r="D64" i="25"/>
  <c r="C103" i="25"/>
  <c r="D41" i="25"/>
  <c r="E40" i="25" s="1"/>
  <c r="E53" i="25"/>
  <c r="L58" i="25"/>
  <c r="M57" i="25"/>
  <c r="M58" i="25" s="1"/>
  <c r="C53" i="25"/>
  <c r="C103" i="4"/>
  <c r="D61" i="4"/>
  <c r="D117" i="4"/>
  <c r="J108" i="4"/>
  <c r="K107" i="4"/>
  <c r="C153" i="4"/>
  <c r="L57" i="4"/>
  <c r="K58" i="4"/>
  <c r="C53" i="4"/>
  <c r="E103" i="4"/>
  <c r="G102" i="4"/>
  <c r="H102" i="4" s="1"/>
  <c r="K7" i="4"/>
  <c r="J8" i="4"/>
  <c r="J7" i="7"/>
  <c r="J57" i="7"/>
  <c r="J107" i="7"/>
  <c r="F52" i="25" l="1"/>
  <c r="G52" i="25" s="1"/>
  <c r="H52" i="25" s="1"/>
  <c r="I52" i="25" s="1"/>
  <c r="D153" i="4"/>
  <c r="D53" i="4"/>
  <c r="D103" i="4"/>
  <c r="K8" i="25"/>
  <c r="D103" i="25"/>
  <c r="D53" i="25"/>
  <c r="D153" i="25"/>
  <c r="H102" i="25"/>
  <c r="I102" i="25" s="1"/>
  <c r="H152" i="25"/>
  <c r="L8" i="25"/>
  <c r="M7" i="25"/>
  <c r="M8" i="25" s="1"/>
  <c r="L108" i="25"/>
  <c r="M107" i="25"/>
  <c r="M108" i="25" s="1"/>
  <c r="M57" i="4"/>
  <c r="M58" i="4" s="1"/>
  <c r="L58" i="4"/>
  <c r="K8" i="4"/>
  <c r="L7" i="4"/>
  <c r="F52" i="4"/>
  <c r="I102" i="4"/>
  <c r="F152" i="4"/>
  <c r="K108" i="4"/>
  <c r="L107" i="4"/>
  <c r="J108" i="7"/>
  <c r="K107" i="7"/>
  <c r="J58" i="7"/>
  <c r="K57" i="7"/>
  <c r="J8" i="7"/>
  <c r="K7" i="7"/>
  <c r="W150" i="26"/>
  <c r="W147" i="26"/>
  <c r="W144" i="26"/>
  <c r="W141" i="26"/>
  <c r="W138" i="26"/>
  <c r="W135" i="26"/>
  <c r="W132" i="26"/>
  <c r="W129" i="26"/>
  <c r="W126" i="26"/>
  <c r="W123" i="26"/>
  <c r="W120" i="26"/>
  <c r="W117" i="26"/>
  <c r="W114" i="26"/>
  <c r="W111" i="26"/>
  <c r="W100" i="26"/>
  <c r="W97" i="26"/>
  <c r="W94" i="26"/>
  <c r="W91" i="26"/>
  <c r="W88" i="26"/>
  <c r="W85" i="26"/>
  <c r="W82" i="26"/>
  <c r="W79" i="26"/>
  <c r="W76" i="26"/>
  <c r="W73" i="26"/>
  <c r="W70" i="26"/>
  <c r="W67" i="26"/>
  <c r="W64" i="26"/>
  <c r="W61" i="26"/>
  <c r="W50" i="26"/>
  <c r="W47" i="26"/>
  <c r="W44" i="26"/>
  <c r="W41" i="26"/>
  <c r="W38" i="26"/>
  <c r="W35" i="26"/>
  <c r="W32" i="26"/>
  <c r="W29" i="26"/>
  <c r="W26" i="26"/>
  <c r="W23" i="26"/>
  <c r="W20" i="26"/>
  <c r="W17" i="26"/>
  <c r="W14" i="26"/>
  <c r="W11" i="26"/>
  <c r="I152" i="25" l="1"/>
  <c r="J52" i="25"/>
  <c r="K52" i="25" s="1"/>
  <c r="L52" i="25" s="1"/>
  <c r="M52" i="25" s="1"/>
  <c r="J102" i="25"/>
  <c r="K102" i="25" s="1"/>
  <c r="G152" i="4"/>
  <c r="G52" i="4"/>
  <c r="H52" i="4" s="1"/>
  <c r="J102" i="4"/>
  <c r="K102" i="4" s="1"/>
  <c r="M107" i="4"/>
  <c r="M108" i="4" s="1"/>
  <c r="L108" i="4"/>
  <c r="M7" i="4"/>
  <c r="M8" i="4" s="1"/>
  <c r="L8" i="4"/>
  <c r="K8" i="7"/>
  <c r="L7" i="7"/>
  <c r="K58" i="7"/>
  <c r="L57" i="7"/>
  <c r="K108" i="7"/>
  <c r="L107" i="7"/>
  <c r="C151" i="26"/>
  <c r="C101" i="26"/>
  <c r="E98" i="26"/>
  <c r="E95" i="26"/>
  <c r="E92" i="26"/>
  <c r="E89" i="26"/>
  <c r="E86" i="26"/>
  <c r="E83" i="26"/>
  <c r="E80" i="26"/>
  <c r="E77" i="26"/>
  <c r="E74" i="26"/>
  <c r="E71" i="26"/>
  <c r="E68" i="26"/>
  <c r="E65" i="26"/>
  <c r="L102" i="25" l="1"/>
  <c r="M102" i="25" s="1"/>
  <c r="J152" i="25"/>
  <c r="K152" i="25" s="1"/>
  <c r="I52" i="4"/>
  <c r="J52" i="4" s="1"/>
  <c r="H152" i="4"/>
  <c r="L102" i="4"/>
  <c r="M102" i="4" s="1"/>
  <c r="L108" i="7"/>
  <c r="M107" i="7"/>
  <c r="M108" i="7" s="1"/>
  <c r="L58" i="7"/>
  <c r="M57" i="7"/>
  <c r="M58" i="7" s="1"/>
  <c r="L8" i="7"/>
  <c r="M7" i="7"/>
  <c r="M8" i="7" s="1"/>
  <c r="E48" i="26"/>
  <c r="E45" i="26"/>
  <c r="E42" i="26"/>
  <c r="E39" i="26"/>
  <c r="E36" i="26"/>
  <c r="E33" i="26"/>
  <c r="E30" i="26"/>
  <c r="E27" i="26"/>
  <c r="E24" i="26"/>
  <c r="E21" i="26"/>
  <c r="E18" i="26"/>
  <c r="E15" i="26"/>
  <c r="L152" i="25" l="1"/>
  <c r="M152" i="25" s="1"/>
  <c r="I152" i="4"/>
  <c r="J152" i="4" s="1"/>
  <c r="K52" i="4"/>
  <c r="E48" i="29"/>
  <c r="E45" i="29"/>
  <c r="E42" i="29"/>
  <c r="E39" i="29"/>
  <c r="E36" i="29"/>
  <c r="E33" i="29"/>
  <c r="E30" i="29"/>
  <c r="E27" i="29"/>
  <c r="E24" i="29"/>
  <c r="E21" i="29"/>
  <c r="E18" i="29"/>
  <c r="E15" i="29"/>
  <c r="E98" i="29"/>
  <c r="E95" i="29"/>
  <c r="E92" i="29"/>
  <c r="E89" i="29"/>
  <c r="E86" i="29"/>
  <c r="E83" i="29"/>
  <c r="E80" i="29"/>
  <c r="E77" i="29"/>
  <c r="E74" i="29"/>
  <c r="E71" i="29"/>
  <c r="E68" i="29"/>
  <c r="E65" i="29"/>
  <c r="C151" i="29"/>
  <c r="K152" i="4" l="1"/>
  <c r="L152" i="4" s="1"/>
  <c r="L52" i="4"/>
  <c r="M52" i="4" s="1"/>
  <c r="M152" i="4" l="1"/>
  <c r="C101" i="29"/>
  <c r="C51" i="29" l="1"/>
  <c r="A150" i="26" l="1"/>
  <c r="A147" i="26"/>
  <c r="A144" i="26"/>
  <c r="A141" i="26"/>
  <c r="A138" i="26"/>
  <c r="A135" i="26"/>
  <c r="A132" i="26"/>
  <c r="A129" i="26"/>
  <c r="A126" i="26"/>
  <c r="A123" i="26"/>
  <c r="A120" i="26"/>
  <c r="A117" i="26"/>
  <c r="A114" i="26"/>
  <c r="A111" i="26"/>
  <c r="I107" i="26"/>
  <c r="I108" i="26" s="1"/>
  <c r="A100" i="26"/>
  <c r="A97" i="26"/>
  <c r="A94" i="26"/>
  <c r="A91" i="26"/>
  <c r="A88" i="26"/>
  <c r="A85" i="26"/>
  <c r="A82" i="26"/>
  <c r="A79" i="26"/>
  <c r="A76" i="26"/>
  <c r="A73" i="26"/>
  <c r="A70" i="26"/>
  <c r="A67" i="26"/>
  <c r="A64" i="26"/>
  <c r="A61" i="26"/>
  <c r="I57" i="26"/>
  <c r="A50" i="26"/>
  <c r="A47" i="26"/>
  <c r="A44" i="26"/>
  <c r="A41" i="26"/>
  <c r="A38" i="26"/>
  <c r="A35" i="26"/>
  <c r="A32" i="26"/>
  <c r="A29" i="26"/>
  <c r="A26" i="26"/>
  <c r="A23" i="26"/>
  <c r="A20" i="26"/>
  <c r="A17" i="26"/>
  <c r="A14" i="26"/>
  <c r="A11" i="26"/>
  <c r="I7" i="26"/>
  <c r="J7" i="26" s="1"/>
  <c r="K7" i="26" s="1"/>
  <c r="C51" i="26" l="1"/>
  <c r="J107" i="26"/>
  <c r="J108" i="26" s="1"/>
  <c r="I8" i="26"/>
  <c r="K8" i="26"/>
  <c r="L7" i="26"/>
  <c r="J8" i="26"/>
  <c r="I58" i="26"/>
  <c r="J57" i="26"/>
  <c r="A120" i="29"/>
  <c r="A117" i="29"/>
  <c r="A114" i="29"/>
  <c r="A111" i="29"/>
  <c r="W120" i="29"/>
  <c r="W117" i="29"/>
  <c r="W114" i="29"/>
  <c r="W111" i="29"/>
  <c r="W70" i="29"/>
  <c r="W67" i="29"/>
  <c r="W64" i="29"/>
  <c r="W61" i="29"/>
  <c r="A70" i="29"/>
  <c r="A67" i="29"/>
  <c r="A64" i="29"/>
  <c r="A61" i="29"/>
  <c r="I107" i="29"/>
  <c r="I108" i="29" s="1"/>
  <c r="I57" i="29"/>
  <c r="I58" i="29" s="1"/>
  <c r="K107" i="26" l="1"/>
  <c r="K108" i="26" s="1"/>
  <c r="L8" i="26"/>
  <c r="M7" i="26"/>
  <c r="M8" i="26" s="1"/>
  <c r="J58" i="26"/>
  <c r="K57" i="26"/>
  <c r="J107" i="29"/>
  <c r="J57" i="29"/>
  <c r="L107" i="26" l="1"/>
  <c r="L108" i="26" s="1"/>
  <c r="K58" i="26"/>
  <c r="L57" i="26"/>
  <c r="J108" i="29"/>
  <c r="K107" i="29"/>
  <c r="J58" i="29"/>
  <c r="K57" i="29"/>
  <c r="W11" i="29"/>
  <c r="W14" i="29"/>
  <c r="W17" i="29"/>
  <c r="W20" i="29"/>
  <c r="W23" i="29"/>
  <c r="W26" i="29"/>
  <c r="W29" i="29"/>
  <c r="W32" i="29"/>
  <c r="W35" i="29"/>
  <c r="W38" i="29"/>
  <c r="W41" i="29"/>
  <c r="W44" i="29"/>
  <c r="W47" i="29"/>
  <c r="W50" i="29"/>
  <c r="M107" i="26" l="1"/>
  <c r="M108" i="26" s="1"/>
  <c r="L58" i="26"/>
  <c r="M57" i="26"/>
  <c r="M58" i="26" s="1"/>
  <c r="K108" i="29"/>
  <c r="L107" i="29"/>
  <c r="K58" i="29"/>
  <c r="L57" i="29"/>
  <c r="I7" i="29"/>
  <c r="J7" i="29" s="1"/>
  <c r="L108" i="29" l="1"/>
  <c r="M107" i="29"/>
  <c r="M108" i="29" s="1"/>
  <c r="L58" i="29"/>
  <c r="M57" i="29"/>
  <c r="M58" i="29" s="1"/>
  <c r="K7" i="29"/>
  <c r="J8" i="29"/>
  <c r="I8" i="29"/>
  <c r="L7" i="29" l="1"/>
  <c r="K8" i="29"/>
  <c r="A11" i="29"/>
  <c r="A14" i="29"/>
  <c r="A17" i="29"/>
  <c r="A20" i="29"/>
  <c r="M7" i="29" l="1"/>
  <c r="M8" i="29" s="1"/>
  <c r="L8" i="29"/>
  <c r="A150" i="29" l="1"/>
  <c r="A147" i="29"/>
  <c r="A144" i="29"/>
  <c r="A141" i="29"/>
  <c r="A138" i="29"/>
  <c r="A135" i="29"/>
  <c r="A132" i="29"/>
  <c r="A129" i="29"/>
  <c r="A126" i="29"/>
  <c r="A123" i="29"/>
  <c r="A100" i="29"/>
  <c r="A97" i="29"/>
  <c r="A94" i="29"/>
  <c r="A91" i="29"/>
  <c r="A88" i="29"/>
  <c r="A85" i="29"/>
  <c r="A82" i="29"/>
  <c r="A79" i="29"/>
  <c r="A76" i="29"/>
  <c r="A73" i="29"/>
  <c r="A50" i="29"/>
  <c r="A47" i="29"/>
  <c r="A44" i="29"/>
  <c r="A41" i="29"/>
  <c r="A38" i="29"/>
  <c r="A35" i="29"/>
  <c r="A32" i="29"/>
  <c r="A29" i="29"/>
  <c r="A26" i="29"/>
  <c r="A23" i="29"/>
  <c r="B126" i="26" l="1"/>
  <c r="C126" i="26" s="1"/>
  <c r="B147" i="26"/>
  <c r="C147" i="26" s="1"/>
  <c r="B38" i="26"/>
  <c r="C38" i="26" s="1"/>
  <c r="B88" i="26"/>
  <c r="C88" i="26" s="1"/>
  <c r="B138" i="26"/>
  <c r="C138" i="26" s="1"/>
  <c r="B35" i="26"/>
  <c r="C35" i="26" s="1"/>
  <c r="B85" i="26"/>
  <c r="C85" i="26" s="1"/>
  <c r="B135" i="26"/>
  <c r="C135" i="26" s="1"/>
  <c r="B123" i="26"/>
  <c r="C123" i="26" s="1"/>
  <c r="B23" i="26"/>
  <c r="C23" i="26" s="1"/>
  <c r="B73" i="26"/>
  <c r="C73" i="26" s="1"/>
  <c r="B47" i="26"/>
  <c r="C47" i="26" s="1"/>
  <c r="B97" i="26"/>
  <c r="C97" i="26" s="1"/>
  <c r="B26" i="26"/>
  <c r="C26" i="26" s="1"/>
  <c r="B76" i="26"/>
  <c r="C76" i="26" s="1"/>
  <c r="B50" i="26"/>
  <c r="C50" i="26" s="1"/>
  <c r="B100" i="26"/>
  <c r="C100" i="26" s="1"/>
  <c r="B150" i="26"/>
  <c r="C150" i="26" s="1"/>
  <c r="B44" i="29"/>
  <c r="C44" i="29" s="1"/>
  <c r="B41" i="29"/>
  <c r="C41" i="29" s="1"/>
  <c r="B135" i="29"/>
  <c r="C135" i="29" s="1"/>
  <c r="B32" i="29"/>
  <c r="C32" i="29" s="1"/>
  <c r="B76" i="29"/>
  <c r="C76" i="29" s="1"/>
  <c r="B88" i="29"/>
  <c r="C88" i="29" s="1"/>
  <c r="B150" i="29"/>
  <c r="C150" i="29" s="1"/>
  <c r="B129" i="29"/>
  <c r="C129" i="29" s="1"/>
  <c r="B29" i="29"/>
  <c r="C29" i="29" s="1"/>
  <c r="B79" i="29"/>
  <c r="C79" i="29" s="1"/>
  <c r="B132" i="29"/>
  <c r="C132" i="29" s="1"/>
  <c r="B147" i="29"/>
  <c r="C147" i="29" s="1"/>
  <c r="B47" i="29"/>
  <c r="C47" i="29" s="1"/>
  <c r="B97" i="29"/>
  <c r="C97" i="29" s="1"/>
  <c r="B26" i="29"/>
  <c r="C26" i="29" s="1"/>
  <c r="B138" i="29"/>
  <c r="C138" i="29" s="1"/>
  <c r="B100" i="29" l="1"/>
  <c r="C100" i="29" s="1"/>
  <c r="B141" i="29"/>
  <c r="C141" i="29" s="1"/>
  <c r="B50" i="29"/>
  <c r="C50" i="29" s="1"/>
  <c r="B91" i="29"/>
  <c r="B38" i="29"/>
  <c r="C38" i="29" s="1"/>
  <c r="B94" i="29"/>
  <c r="C94" i="29" s="1"/>
  <c r="B144" i="29"/>
  <c r="D86" i="26"/>
  <c r="E85" i="26" s="1"/>
  <c r="E137" i="29"/>
  <c r="E136" i="29"/>
  <c r="D136" i="29"/>
  <c r="E135" i="29" s="1"/>
  <c r="E152" i="26"/>
  <c r="E151" i="26"/>
  <c r="D151" i="26"/>
  <c r="E150" i="26" s="1"/>
  <c r="D77" i="26"/>
  <c r="E76" i="26" s="1"/>
  <c r="E149" i="26"/>
  <c r="E148" i="26"/>
  <c r="D148" i="26"/>
  <c r="E147" i="26" s="1"/>
  <c r="D24" i="26"/>
  <c r="E23" i="26" s="1"/>
  <c r="D36" i="26"/>
  <c r="E35" i="26" s="1"/>
  <c r="E152" i="29"/>
  <c r="E151" i="29"/>
  <c r="D151" i="29"/>
  <c r="E150" i="29" s="1"/>
  <c r="E131" i="29"/>
  <c r="E130" i="29"/>
  <c r="D130" i="29"/>
  <c r="E129" i="29" s="1"/>
  <c r="E128" i="26"/>
  <c r="E127" i="26"/>
  <c r="D127" i="26"/>
  <c r="E126" i="26" s="1"/>
  <c r="D74" i="26"/>
  <c r="E73" i="26" s="1"/>
  <c r="D39" i="26"/>
  <c r="E38" i="26" s="1"/>
  <c r="E134" i="29"/>
  <c r="E133" i="29"/>
  <c r="D133" i="29"/>
  <c r="E132" i="29" s="1"/>
  <c r="E102" i="26"/>
  <c r="E101" i="26"/>
  <c r="D101" i="26"/>
  <c r="E100" i="26" s="1"/>
  <c r="D27" i="26"/>
  <c r="E26" i="26" s="1"/>
  <c r="D98" i="26"/>
  <c r="E97" i="26" s="1"/>
  <c r="E125" i="26"/>
  <c r="E124" i="26"/>
  <c r="D124" i="26"/>
  <c r="E123" i="26" s="1"/>
  <c r="E140" i="26"/>
  <c r="E139" i="26"/>
  <c r="D139" i="26"/>
  <c r="E138" i="26" s="1"/>
  <c r="E140" i="29"/>
  <c r="E139" i="29"/>
  <c r="D139" i="29"/>
  <c r="E138" i="29" s="1"/>
  <c r="E149" i="29"/>
  <c r="E148" i="29"/>
  <c r="D148" i="29"/>
  <c r="E147" i="29" s="1"/>
  <c r="E143" i="29"/>
  <c r="E142" i="29"/>
  <c r="D142" i="29"/>
  <c r="E141" i="29" s="1"/>
  <c r="E52" i="26"/>
  <c r="E51" i="26"/>
  <c r="D51" i="26"/>
  <c r="E50" i="26" s="1"/>
  <c r="D48" i="26"/>
  <c r="E47" i="26" s="1"/>
  <c r="E137" i="26"/>
  <c r="E136" i="26"/>
  <c r="D136" i="26"/>
  <c r="E135" i="26" s="1"/>
  <c r="D89" i="26"/>
  <c r="E88" i="26" s="1"/>
  <c r="D42" i="29"/>
  <c r="E41" i="29" s="1"/>
  <c r="D77" i="29"/>
  <c r="E76" i="29" s="1"/>
  <c r="D33" i="29"/>
  <c r="E32" i="29" s="1"/>
  <c r="E101" i="29"/>
  <c r="E102" i="29"/>
  <c r="D101" i="29"/>
  <c r="E100" i="29" s="1"/>
  <c r="D39" i="29"/>
  <c r="E38" i="29" s="1"/>
  <c r="D48" i="29"/>
  <c r="E47" i="29" s="1"/>
  <c r="D80" i="29"/>
  <c r="E79" i="29" s="1"/>
  <c r="D30" i="29"/>
  <c r="E29" i="29" s="1"/>
  <c r="D89" i="29"/>
  <c r="E88" i="29" s="1"/>
  <c r="D98" i="29"/>
  <c r="E97" i="29" s="1"/>
  <c r="E52" i="29"/>
  <c r="E51" i="29"/>
  <c r="D27" i="29"/>
  <c r="E26" i="29" s="1"/>
  <c r="D95" i="29"/>
  <c r="E94" i="29" s="1"/>
  <c r="D45" i="29"/>
  <c r="E44" i="29" s="1"/>
  <c r="B144" i="26"/>
  <c r="C144" i="26" s="1"/>
  <c r="B44" i="26"/>
  <c r="C44" i="26" s="1"/>
  <c r="B94" i="26"/>
  <c r="C94" i="26" s="1"/>
  <c r="F152" i="26"/>
  <c r="B85" i="29"/>
  <c r="C85" i="29" s="1"/>
  <c r="B132" i="26"/>
  <c r="C132" i="26" s="1"/>
  <c r="B32" i="26"/>
  <c r="C32" i="26" s="1"/>
  <c r="B82" i="26"/>
  <c r="C82" i="26" s="1"/>
  <c r="B11" i="29"/>
  <c r="C11" i="29" s="1"/>
  <c r="B61" i="29"/>
  <c r="C61" i="29" s="1"/>
  <c r="B111" i="29"/>
  <c r="C111" i="29" s="1"/>
  <c r="B14" i="26"/>
  <c r="C14" i="26" s="1"/>
  <c r="B64" i="26"/>
  <c r="C64" i="26" s="1"/>
  <c r="B114" i="26"/>
  <c r="C114" i="26" s="1"/>
  <c r="F102" i="26"/>
  <c r="B14" i="29"/>
  <c r="C14" i="29" s="1"/>
  <c r="B114" i="29"/>
  <c r="C114" i="29" s="1"/>
  <c r="B64" i="29"/>
  <c r="C64" i="29" s="1"/>
  <c r="B11" i="26"/>
  <c r="C11" i="26" s="1"/>
  <c r="B61" i="26"/>
  <c r="C61" i="26" s="1"/>
  <c r="B111" i="26"/>
  <c r="C111" i="26" s="1"/>
  <c r="B126" i="29"/>
  <c r="C126" i="29" s="1"/>
  <c r="B20" i="29"/>
  <c r="C20" i="29" s="1"/>
  <c r="B120" i="29"/>
  <c r="C120" i="29" s="1"/>
  <c r="B70" i="29"/>
  <c r="C70" i="29" s="1"/>
  <c r="B141" i="26"/>
  <c r="C141" i="26" s="1"/>
  <c r="B91" i="26"/>
  <c r="C91" i="26" s="1"/>
  <c r="B41" i="26"/>
  <c r="C41" i="26" s="1"/>
  <c r="B117" i="26"/>
  <c r="C117" i="26" s="1"/>
  <c r="B17" i="26"/>
  <c r="C17" i="26" s="1"/>
  <c r="B67" i="26"/>
  <c r="C67" i="26" s="1"/>
  <c r="F52" i="26"/>
  <c r="B82" i="29"/>
  <c r="C82" i="29" s="1"/>
  <c r="B17" i="29"/>
  <c r="C17" i="29" s="1"/>
  <c r="B67" i="29"/>
  <c r="C67" i="29" s="1"/>
  <c r="B117" i="29"/>
  <c r="C117" i="29" s="1"/>
  <c r="B29" i="26"/>
  <c r="C29" i="26" s="1"/>
  <c r="B79" i="26"/>
  <c r="C79" i="26" s="1"/>
  <c r="B129" i="26"/>
  <c r="C129" i="26" s="1"/>
  <c r="B120" i="26"/>
  <c r="C120" i="26" s="1"/>
  <c r="B20" i="26"/>
  <c r="C20" i="26" s="1"/>
  <c r="B70" i="26"/>
  <c r="C70" i="26" s="1"/>
  <c r="B35" i="29"/>
  <c r="C35" i="29" s="1"/>
  <c r="B123" i="29"/>
  <c r="C123" i="29" s="1"/>
  <c r="B73" i="29"/>
  <c r="C73" i="29" s="1"/>
  <c r="B23" i="29"/>
  <c r="C23" i="29" s="1"/>
  <c r="D145" i="29" l="1"/>
  <c r="E144" i="29" s="1"/>
  <c r="C144" i="29"/>
  <c r="D144" i="29" s="1"/>
  <c r="D92" i="29"/>
  <c r="E91" i="29" s="1"/>
  <c r="C91" i="29"/>
  <c r="D51" i="29"/>
  <c r="E50" i="29" s="1"/>
  <c r="E145" i="29"/>
  <c r="D47" i="26"/>
  <c r="E46" i="26" s="1"/>
  <c r="E146" i="29"/>
  <c r="D135" i="26"/>
  <c r="D76" i="26"/>
  <c r="E75" i="26" s="1"/>
  <c r="D150" i="26"/>
  <c r="D135" i="29"/>
  <c r="D71" i="26"/>
  <c r="E70" i="26" s="1"/>
  <c r="D80" i="26"/>
  <c r="E79" i="26" s="1"/>
  <c r="D18" i="26"/>
  <c r="E17" i="26" s="1"/>
  <c r="E143" i="26"/>
  <c r="E142" i="26"/>
  <c r="D142" i="26"/>
  <c r="E141" i="26" s="1"/>
  <c r="E128" i="29"/>
  <c r="E127" i="29"/>
  <c r="D127" i="29"/>
  <c r="E126" i="29" s="1"/>
  <c r="E116" i="26"/>
  <c r="E115" i="26"/>
  <c r="D115" i="26"/>
  <c r="E114" i="26" s="1"/>
  <c r="E134" i="26"/>
  <c r="E133" i="26"/>
  <c r="D133" i="26"/>
  <c r="E132" i="26" s="1"/>
  <c r="D45" i="26"/>
  <c r="E44" i="26" s="1"/>
  <c r="D21" i="26"/>
  <c r="E20" i="26" s="1"/>
  <c r="D30" i="26"/>
  <c r="E29" i="26" s="1"/>
  <c r="E119" i="26"/>
  <c r="E118" i="26"/>
  <c r="D118" i="26"/>
  <c r="E117" i="26" s="1"/>
  <c r="E113" i="26"/>
  <c r="E112" i="26"/>
  <c r="D112" i="26"/>
  <c r="E111" i="26" s="1"/>
  <c r="E116" i="29"/>
  <c r="E115" i="29"/>
  <c r="D115" i="29"/>
  <c r="E114" i="29" s="1"/>
  <c r="D65" i="26"/>
  <c r="E64" i="26" s="1"/>
  <c r="E146" i="26"/>
  <c r="E145" i="26"/>
  <c r="D145" i="26"/>
  <c r="E144" i="26" s="1"/>
  <c r="D88" i="26"/>
  <c r="E87" i="26" s="1"/>
  <c r="D50" i="26"/>
  <c r="E49" i="26" s="1"/>
  <c r="D97" i="26"/>
  <c r="E96" i="26" s="1"/>
  <c r="D38" i="26"/>
  <c r="E37" i="26" s="1"/>
  <c r="D35" i="26"/>
  <c r="E34" i="26" s="1"/>
  <c r="E119" i="29"/>
  <c r="E118" i="29"/>
  <c r="D118" i="29"/>
  <c r="E117" i="29" s="1"/>
  <c r="E125" i="29"/>
  <c r="E124" i="29"/>
  <c r="D124" i="29"/>
  <c r="E123" i="29" s="1"/>
  <c r="E122" i="26"/>
  <c r="E121" i="26"/>
  <c r="D121" i="26"/>
  <c r="E120" i="26" s="1"/>
  <c r="D42" i="26"/>
  <c r="E41" i="26" s="1"/>
  <c r="E122" i="29"/>
  <c r="E121" i="29"/>
  <c r="D121" i="29"/>
  <c r="E120" i="29" s="1"/>
  <c r="E63" i="26"/>
  <c r="E62" i="26"/>
  <c r="D62" i="26"/>
  <c r="E61" i="26" s="1"/>
  <c r="D15" i="26"/>
  <c r="E14" i="26" s="1"/>
  <c r="D83" i="26"/>
  <c r="E82" i="26" s="1"/>
  <c r="E131" i="26"/>
  <c r="E130" i="26"/>
  <c r="D130" i="26"/>
  <c r="E129" i="26" s="1"/>
  <c r="D68" i="26"/>
  <c r="E67" i="26" s="1"/>
  <c r="D92" i="26"/>
  <c r="E91" i="26" s="1"/>
  <c r="E13" i="26"/>
  <c r="E12" i="26"/>
  <c r="D12" i="26"/>
  <c r="E11" i="26" s="1"/>
  <c r="D112" i="29"/>
  <c r="E111" i="29" s="1"/>
  <c r="D33" i="26"/>
  <c r="E32" i="26" s="1"/>
  <c r="D95" i="26"/>
  <c r="E94" i="26" s="1"/>
  <c r="D141" i="29"/>
  <c r="D147" i="29"/>
  <c r="D138" i="29"/>
  <c r="D138" i="26"/>
  <c r="D123" i="26"/>
  <c r="D26" i="26"/>
  <c r="E25" i="26" s="1"/>
  <c r="D100" i="26"/>
  <c r="E99" i="26" s="1"/>
  <c r="D132" i="29"/>
  <c r="D73" i="26"/>
  <c r="E72" i="26" s="1"/>
  <c r="D126" i="26"/>
  <c r="D129" i="29"/>
  <c r="D150" i="29"/>
  <c r="D23" i="26"/>
  <c r="E22" i="26" s="1"/>
  <c r="D147" i="26"/>
  <c r="D85" i="26"/>
  <c r="E84" i="26" s="1"/>
  <c r="D65" i="29"/>
  <c r="E64" i="29" s="1"/>
  <c r="D24" i="29"/>
  <c r="E23" i="29" s="1"/>
  <c r="D18" i="29"/>
  <c r="E17" i="29" s="1"/>
  <c r="D74" i="29"/>
  <c r="E73" i="29" s="1"/>
  <c r="D83" i="29"/>
  <c r="E82" i="29" s="1"/>
  <c r="E63" i="29"/>
  <c r="D62" i="29"/>
  <c r="E61" i="29" s="1"/>
  <c r="E62" i="29"/>
  <c r="D100" i="29"/>
  <c r="E99" i="29" s="1"/>
  <c r="D21" i="29"/>
  <c r="E20" i="29" s="1"/>
  <c r="E113" i="29"/>
  <c r="E112" i="29"/>
  <c r="D71" i="29"/>
  <c r="E70" i="29" s="1"/>
  <c r="D15" i="29"/>
  <c r="E14" i="29" s="1"/>
  <c r="E13" i="29"/>
  <c r="E12" i="29"/>
  <c r="D12" i="29"/>
  <c r="E11" i="29" s="1"/>
  <c r="D86" i="29"/>
  <c r="E85" i="29" s="1"/>
  <c r="D91" i="29"/>
  <c r="E90" i="29" s="1"/>
  <c r="D94" i="29"/>
  <c r="E93" i="29" s="1"/>
  <c r="D97" i="29"/>
  <c r="E96" i="29" s="1"/>
  <c r="D88" i="29"/>
  <c r="E87" i="29" s="1"/>
  <c r="D79" i="29"/>
  <c r="E78" i="29" s="1"/>
  <c r="D76" i="29"/>
  <c r="E75" i="29" s="1"/>
  <c r="D36" i="29"/>
  <c r="E35" i="29" s="1"/>
  <c r="D68" i="29"/>
  <c r="E67" i="29" s="1"/>
  <c r="D44" i="29"/>
  <c r="E43" i="29" s="1"/>
  <c r="D26" i="29"/>
  <c r="E25" i="29" s="1"/>
  <c r="D50" i="29"/>
  <c r="E49" i="29" s="1"/>
  <c r="D29" i="29"/>
  <c r="E28" i="29" s="1"/>
  <c r="D47" i="29"/>
  <c r="E46" i="29" s="1"/>
  <c r="D38" i="29"/>
  <c r="E37" i="29" s="1"/>
  <c r="D32" i="29"/>
  <c r="E31" i="29" s="1"/>
  <c r="D41" i="29"/>
  <c r="E40" i="29" s="1"/>
  <c r="G52" i="26"/>
  <c r="H52" i="26" s="1"/>
  <c r="F101" i="26"/>
  <c r="G101" i="26" s="1"/>
  <c r="H101" i="26" s="1"/>
  <c r="I101" i="26" s="1"/>
  <c r="J101" i="26" s="1"/>
  <c r="K101" i="26" s="1"/>
  <c r="L101" i="26" s="1"/>
  <c r="M101" i="26" s="1"/>
  <c r="G152" i="26"/>
  <c r="H152" i="26" s="1"/>
  <c r="I152" i="26" s="1"/>
  <c r="J152" i="26" s="1"/>
  <c r="F151" i="26"/>
  <c r="G151" i="26" s="1"/>
  <c r="H151" i="26" s="1"/>
  <c r="I151" i="26" s="1"/>
  <c r="J151" i="26" s="1"/>
  <c r="K151" i="26" s="1"/>
  <c r="L151" i="26" s="1"/>
  <c r="M151" i="26" s="1"/>
  <c r="F51" i="26"/>
  <c r="G51" i="26" s="1"/>
  <c r="H51" i="26" s="1"/>
  <c r="I51" i="26" s="1"/>
  <c r="J51" i="26" s="1"/>
  <c r="K51" i="26" s="1"/>
  <c r="L51" i="26" s="1"/>
  <c r="M51" i="26" s="1"/>
  <c r="G102" i="26"/>
  <c r="D17" i="26" l="1"/>
  <c r="E16" i="26" s="1"/>
  <c r="D70" i="26"/>
  <c r="E69" i="26" s="1"/>
  <c r="D64" i="26"/>
  <c r="D20" i="26"/>
  <c r="E19" i="26" s="1"/>
  <c r="D94" i="26"/>
  <c r="E93" i="26" s="1"/>
  <c r="D67" i="26"/>
  <c r="E66" i="26" s="1"/>
  <c r="D14" i="26"/>
  <c r="D32" i="26"/>
  <c r="E31" i="26" s="1"/>
  <c r="D91" i="26"/>
  <c r="E90" i="26" s="1"/>
  <c r="D82" i="26"/>
  <c r="E81" i="26" s="1"/>
  <c r="D41" i="26"/>
  <c r="E40" i="26" s="1"/>
  <c r="D120" i="26"/>
  <c r="D123" i="29"/>
  <c r="D117" i="29"/>
  <c r="E153" i="26"/>
  <c r="C53" i="26"/>
  <c r="D11" i="26"/>
  <c r="D144" i="26"/>
  <c r="D29" i="26"/>
  <c r="E28" i="26" s="1"/>
  <c r="D44" i="26"/>
  <c r="E43" i="26" s="1"/>
  <c r="D132" i="26"/>
  <c r="D114" i="26"/>
  <c r="D126" i="29"/>
  <c r="D141" i="26"/>
  <c r="D79" i="26"/>
  <c r="E78" i="26" s="1"/>
  <c r="D129" i="26"/>
  <c r="D61" i="26"/>
  <c r="C103" i="26"/>
  <c r="D120" i="29"/>
  <c r="E53" i="26"/>
  <c r="E103" i="26"/>
  <c r="D114" i="29"/>
  <c r="C153" i="26"/>
  <c r="D111" i="26"/>
  <c r="D117" i="26"/>
  <c r="D111" i="29"/>
  <c r="D20" i="29"/>
  <c r="E19" i="29" s="1"/>
  <c r="D14" i="29"/>
  <c r="D67" i="29"/>
  <c r="E66" i="29" s="1"/>
  <c r="D82" i="29"/>
  <c r="E81" i="29" s="1"/>
  <c r="D64" i="29"/>
  <c r="D35" i="29"/>
  <c r="E34" i="29" s="1"/>
  <c r="D85" i="29"/>
  <c r="E84" i="29" s="1"/>
  <c r="D70" i="29"/>
  <c r="E69" i="29" s="1"/>
  <c r="D73" i="29"/>
  <c r="E72" i="29" s="1"/>
  <c r="D11" i="29"/>
  <c r="D17" i="29"/>
  <c r="E16" i="29" s="1"/>
  <c r="D23" i="29"/>
  <c r="E22" i="29" s="1"/>
  <c r="E103" i="29"/>
  <c r="D61" i="29"/>
  <c r="C103" i="29"/>
  <c r="K152" i="26"/>
  <c r="L152" i="26" s="1"/>
  <c r="M152" i="26" s="1"/>
  <c r="E153" i="29"/>
  <c r="I52" i="26"/>
  <c r="H102" i="26"/>
  <c r="C153" i="29"/>
  <c r="D103" i="26" l="1"/>
  <c r="D153" i="26"/>
  <c r="D53" i="26"/>
  <c r="D153" i="29"/>
  <c r="J52" i="26"/>
  <c r="K52" i="26" s="1"/>
  <c r="L52" i="26" s="1"/>
  <c r="D103" i="29"/>
  <c r="I102" i="26"/>
  <c r="J102" i="26" s="1"/>
  <c r="K102" i="26" s="1"/>
  <c r="L102" i="26" l="1"/>
  <c r="M102" i="26" s="1"/>
  <c r="M52" i="26"/>
  <c r="W141" i="29"/>
  <c r="W82" i="29"/>
  <c r="W73" i="29"/>
  <c r="W147" i="29" l="1"/>
  <c r="W132" i="29"/>
  <c r="W123" i="29"/>
  <c r="W79" i="29" l="1"/>
  <c r="W88" i="29"/>
  <c r="W135" i="29"/>
  <c r="W91" i="29"/>
  <c r="W126" i="29" l="1"/>
  <c r="W150" i="29"/>
  <c r="W129" i="29"/>
  <c r="W138" i="29" l="1"/>
  <c r="W94" i="29"/>
  <c r="W144" i="29"/>
  <c r="E53" i="29"/>
  <c r="C53" i="29"/>
  <c r="W85" i="29"/>
  <c r="W76" i="29"/>
  <c r="D53" i="29" l="1"/>
  <c r="B150" i="7" l="1"/>
  <c r="C150" i="7" s="1"/>
  <c r="B50" i="7"/>
  <c r="C50" i="7" s="1"/>
  <c r="B100" i="7"/>
  <c r="C100" i="7" s="1"/>
  <c r="B135" i="7"/>
  <c r="C135" i="7" s="1"/>
  <c r="B35" i="7"/>
  <c r="C35" i="7" s="1"/>
  <c r="B85" i="7"/>
  <c r="C85" i="7" s="1"/>
  <c r="B82" i="7"/>
  <c r="C82" i="7" s="1"/>
  <c r="B132" i="7"/>
  <c r="C132" i="7" s="1"/>
  <c r="B32" i="7"/>
  <c r="C32" i="7" s="1"/>
  <c r="B79" i="7"/>
  <c r="C79" i="7" s="1"/>
  <c r="B129" i="7"/>
  <c r="C129" i="7" s="1"/>
  <c r="B29" i="7"/>
  <c r="C29" i="7" s="1"/>
  <c r="B111" i="7"/>
  <c r="C111" i="7" s="1"/>
  <c r="B11" i="7"/>
  <c r="C11" i="7" s="1"/>
  <c r="B61" i="7"/>
  <c r="C61" i="7" s="1"/>
  <c r="B126" i="7"/>
  <c r="C126" i="7" s="1"/>
  <c r="B26" i="7"/>
  <c r="C26" i="7" s="1"/>
  <c r="B76" i="7"/>
  <c r="C76" i="7" s="1"/>
  <c r="B94" i="7"/>
  <c r="C94" i="7" s="1"/>
  <c r="B144" i="7"/>
  <c r="C144" i="7" s="1"/>
  <c r="B44" i="7"/>
  <c r="C44" i="7" s="1"/>
  <c r="B91" i="7"/>
  <c r="C91" i="7" s="1"/>
  <c r="B141" i="7"/>
  <c r="C141" i="7" s="1"/>
  <c r="B41" i="7"/>
  <c r="C41" i="7" s="1"/>
  <c r="B67" i="7"/>
  <c r="C67" i="7" s="1"/>
  <c r="B117" i="7"/>
  <c r="C117" i="7" s="1"/>
  <c r="B17" i="7"/>
  <c r="C17" i="7" s="1"/>
  <c r="B147" i="7"/>
  <c r="C147" i="7" s="1"/>
  <c r="B47" i="7"/>
  <c r="C47" i="7" s="1"/>
  <c r="B97" i="7"/>
  <c r="C97" i="7" s="1"/>
  <c r="B114" i="7"/>
  <c r="C114" i="7" s="1"/>
  <c r="B14" i="7"/>
  <c r="C14" i="7" s="1"/>
  <c r="B64" i="7"/>
  <c r="C64" i="7" s="1"/>
  <c r="B138" i="7"/>
  <c r="C138" i="7" s="1"/>
  <c r="B38" i="7"/>
  <c r="C38" i="7" s="1"/>
  <c r="B88" i="7"/>
  <c r="C88" i="7" s="1"/>
  <c r="B123" i="7"/>
  <c r="C123" i="7" s="1"/>
  <c r="B23" i="7"/>
  <c r="C23" i="7" s="1"/>
  <c r="B73" i="7"/>
  <c r="C73" i="7" s="1"/>
  <c r="B70" i="7"/>
  <c r="C70" i="7" s="1"/>
  <c r="B120" i="7"/>
  <c r="C120" i="7" s="1"/>
  <c r="B20" i="7"/>
  <c r="C20" i="7" s="1"/>
  <c r="D71" i="7" l="1"/>
  <c r="E70" i="7" s="1"/>
  <c r="D70" i="7" s="1"/>
  <c r="E69" i="7" s="1"/>
  <c r="D89" i="7"/>
  <c r="E88" i="7" s="1"/>
  <c r="D88" i="7" s="1"/>
  <c r="E87" i="7" s="1"/>
  <c r="D15" i="7"/>
  <c r="E14" i="7" s="1"/>
  <c r="D14" i="7" s="1"/>
  <c r="E149" i="7"/>
  <c r="E148" i="7"/>
  <c r="D148" i="7"/>
  <c r="E147" i="7" s="1"/>
  <c r="D42" i="7"/>
  <c r="E41" i="7" s="1"/>
  <c r="D41" i="7" s="1"/>
  <c r="E40" i="7" s="1"/>
  <c r="E146" i="7"/>
  <c r="D145" i="7"/>
  <c r="E144" i="7" s="1"/>
  <c r="D144" i="7" s="1"/>
  <c r="E145" i="7"/>
  <c r="E128" i="7"/>
  <c r="D127" i="7"/>
  <c r="E126" i="7" s="1"/>
  <c r="D126" i="7" s="1"/>
  <c r="E127" i="7"/>
  <c r="D30" i="7"/>
  <c r="E29" i="7" s="1"/>
  <c r="D29" i="7" s="1"/>
  <c r="E28" i="7" s="1"/>
  <c r="E134" i="7"/>
  <c r="D133" i="7"/>
  <c r="E132" i="7" s="1"/>
  <c r="E133" i="7"/>
  <c r="E137" i="7"/>
  <c r="E136" i="7"/>
  <c r="D136" i="7"/>
  <c r="E135" i="7" s="1"/>
  <c r="D74" i="7"/>
  <c r="E73" i="7" s="1"/>
  <c r="D73" i="7" s="1"/>
  <c r="E72" i="7" s="1"/>
  <c r="D39" i="7"/>
  <c r="E38" i="7" s="1"/>
  <c r="D38" i="7" s="1"/>
  <c r="E37" i="7" s="1"/>
  <c r="E116" i="7"/>
  <c r="D115" i="7"/>
  <c r="E114" i="7" s="1"/>
  <c r="D114" i="7" s="1"/>
  <c r="E115" i="7"/>
  <c r="D18" i="7"/>
  <c r="E17" i="7" s="1"/>
  <c r="D17" i="7" s="1"/>
  <c r="E16" i="7" s="1"/>
  <c r="E143" i="7"/>
  <c r="D142" i="7"/>
  <c r="E141" i="7" s="1"/>
  <c r="D141" i="7" s="1"/>
  <c r="E142" i="7"/>
  <c r="D95" i="7"/>
  <c r="E94" i="7" s="1"/>
  <c r="D94" i="7" s="1"/>
  <c r="E93" i="7" s="1"/>
  <c r="E63" i="7"/>
  <c r="D62" i="7"/>
  <c r="E61" i="7" s="1"/>
  <c r="E62" i="7"/>
  <c r="E131" i="7"/>
  <c r="D130" i="7"/>
  <c r="E129" i="7" s="1"/>
  <c r="D129" i="7" s="1"/>
  <c r="E130" i="7"/>
  <c r="D83" i="7"/>
  <c r="E82" i="7" s="1"/>
  <c r="D82" i="7" s="1"/>
  <c r="E81" i="7" s="1"/>
  <c r="D101" i="7"/>
  <c r="E100" i="7" s="1"/>
  <c r="E101" i="7"/>
  <c r="E102" i="7"/>
  <c r="F102" i="7"/>
  <c r="D21" i="7"/>
  <c r="E20" i="7" s="1"/>
  <c r="D24" i="7"/>
  <c r="E23" i="7" s="1"/>
  <c r="E140" i="7"/>
  <c r="D139" i="7"/>
  <c r="E138" i="7" s="1"/>
  <c r="E139" i="7"/>
  <c r="D98" i="7"/>
  <c r="E97" i="7" s="1"/>
  <c r="E119" i="7"/>
  <c r="D118" i="7"/>
  <c r="E117" i="7" s="1"/>
  <c r="E118" i="7"/>
  <c r="D92" i="7"/>
  <c r="E91" i="7" s="1"/>
  <c r="D77" i="7"/>
  <c r="E76" i="7" s="1"/>
  <c r="E13" i="7"/>
  <c r="D12" i="7"/>
  <c r="E11" i="7" s="1"/>
  <c r="E12" i="7"/>
  <c r="D80" i="7"/>
  <c r="E79" i="7" s="1"/>
  <c r="D86" i="7"/>
  <c r="E85" i="7" s="1"/>
  <c r="D51" i="7"/>
  <c r="E50" i="7" s="1"/>
  <c r="D50" i="7" s="1"/>
  <c r="E49" i="7" s="1"/>
  <c r="E51" i="7"/>
  <c r="E52" i="7"/>
  <c r="F52" i="7"/>
  <c r="D121" i="7"/>
  <c r="E120" i="7" s="1"/>
  <c r="E122" i="7"/>
  <c r="E121" i="7"/>
  <c r="E125" i="7"/>
  <c r="E124" i="7"/>
  <c r="D124" i="7"/>
  <c r="E123" i="7" s="1"/>
  <c r="D65" i="7"/>
  <c r="E64" i="7" s="1"/>
  <c r="D48" i="7"/>
  <c r="E47" i="7" s="1"/>
  <c r="D47" i="7" s="1"/>
  <c r="E46" i="7" s="1"/>
  <c r="D68" i="7"/>
  <c r="E67" i="7" s="1"/>
  <c r="D45" i="7"/>
  <c r="E44" i="7" s="1"/>
  <c r="D44" i="7" s="1"/>
  <c r="E43" i="7" s="1"/>
  <c r="D27" i="7"/>
  <c r="E26" i="7" s="1"/>
  <c r="E113" i="7"/>
  <c r="D112" i="7"/>
  <c r="E111" i="7" s="1"/>
  <c r="E112" i="7"/>
  <c r="D33" i="7"/>
  <c r="E32" i="7" s="1"/>
  <c r="D32" i="7" s="1"/>
  <c r="E31" i="7" s="1"/>
  <c r="D36" i="7"/>
  <c r="E35" i="7" s="1"/>
  <c r="E152" i="7"/>
  <c r="D151" i="7"/>
  <c r="E150" i="7" s="1"/>
  <c r="D150" i="7" s="1"/>
  <c r="E151" i="7"/>
  <c r="F152" i="7"/>
  <c r="D61" i="7" l="1"/>
  <c r="C103" i="7"/>
  <c r="D111" i="7"/>
  <c r="C153" i="7"/>
  <c r="G52" i="7"/>
  <c r="H52" i="7"/>
  <c r="I52" i="7" s="1"/>
  <c r="J52" i="7" s="1"/>
  <c r="G152" i="7"/>
  <c r="H152" i="7" s="1"/>
  <c r="D123" i="7"/>
  <c r="D85" i="7"/>
  <c r="E84" i="7" s="1"/>
  <c r="D76" i="7"/>
  <c r="E75" i="7" s="1"/>
  <c r="D117" i="7"/>
  <c r="D97" i="7"/>
  <c r="E96" i="7" s="1"/>
  <c r="D138" i="7"/>
  <c r="D20" i="7"/>
  <c r="E19" i="7" s="1"/>
  <c r="D35" i="7"/>
  <c r="E34" i="7" s="1"/>
  <c r="D26" i="7"/>
  <c r="E25" i="7" s="1"/>
  <c r="D67" i="7"/>
  <c r="E66" i="7" s="1"/>
  <c r="D64" i="7"/>
  <c r="D120" i="7"/>
  <c r="E53" i="7"/>
  <c r="D132" i="7"/>
  <c r="E153" i="7"/>
  <c r="D79" i="7"/>
  <c r="E78" i="7" s="1"/>
  <c r="C53" i="7"/>
  <c r="D11" i="7"/>
  <c r="D91" i="7"/>
  <c r="E90" i="7" s="1"/>
  <c r="D23" i="7"/>
  <c r="E22" i="7" s="1"/>
  <c r="G102" i="7"/>
  <c r="H102" i="7" s="1"/>
  <c r="D100" i="7"/>
  <c r="E99" i="7" s="1"/>
  <c r="E103" i="7"/>
  <c r="D135" i="7"/>
  <c r="D147" i="7"/>
  <c r="K52" i="7" l="1"/>
  <c r="L52" i="7" s="1"/>
  <c r="M52" i="7" s="1"/>
  <c r="I102" i="7"/>
  <c r="D53" i="7"/>
  <c r="D153" i="7"/>
  <c r="I152" i="7"/>
  <c r="J152" i="7" s="1"/>
  <c r="D103" i="7"/>
  <c r="J102" i="7" l="1"/>
  <c r="K102" i="7" s="1"/>
  <c r="L102" i="7" s="1"/>
  <c r="M102" i="7" s="1"/>
  <c r="K152" i="7"/>
  <c r="L152" i="7" s="1"/>
  <c r="M152" i="7" s="1"/>
  <c r="W100" i="29" l="1"/>
  <c r="W97" i="29" l="1"/>
</calcChain>
</file>

<file path=xl/sharedStrings.xml><?xml version="1.0" encoding="utf-8"?>
<sst xmlns="http://schemas.openxmlformats.org/spreadsheetml/2006/main" count="1314" uniqueCount="75">
  <si>
    <t>Арматура</t>
  </si>
  <si>
    <t>Вага п.м., кг</t>
  </si>
  <si>
    <t>Коефіцієнт витяжки</t>
  </si>
  <si>
    <t>N</t>
  </si>
  <si>
    <t>p</t>
  </si>
  <si>
    <t>P</t>
  </si>
  <si>
    <t xml:space="preserve"> - міра, на яку будемо різати 800т ножицями</t>
  </si>
  <si>
    <t>n</t>
  </si>
  <si>
    <t xml:space="preserve"> - число мір у розкаті</t>
  </si>
  <si>
    <t>%</t>
  </si>
  <si>
    <t>#16</t>
  </si>
  <si>
    <t>#36</t>
  </si>
  <si>
    <t>#40</t>
  </si>
  <si>
    <t>#8</t>
  </si>
  <si>
    <t>#14</t>
  </si>
  <si>
    <t>#10</t>
  </si>
  <si>
    <t>#12</t>
  </si>
  <si>
    <t>#42</t>
  </si>
  <si>
    <t>#32</t>
  </si>
  <si>
    <t>#30</t>
  </si>
  <si>
    <t>#28</t>
  </si>
  <si>
    <t>#25</t>
  </si>
  <si>
    <t>#24</t>
  </si>
  <si>
    <t>#22</t>
  </si>
  <si>
    <t>#20</t>
  </si>
  <si>
    <t>#18</t>
  </si>
  <si>
    <t>Двухразделка</t>
  </si>
  <si>
    <t>немеры</t>
  </si>
  <si>
    <t>Средний</t>
  </si>
  <si>
    <t xml:space="preserve"> - процент обрізі</t>
  </si>
  <si>
    <t>Заготовка</t>
  </si>
  <si>
    <t xml:space="preserve">  % некондиции при условии [м]:</t>
  </si>
  <si>
    <t>#14new</t>
  </si>
  <si>
    <t>Площа перерізу, см²</t>
  </si>
  <si>
    <t>Площа перерізу заготовки 15х15, [ см²] =</t>
  </si>
  <si>
    <t>Lc</t>
  </si>
  <si>
    <t>Lт</t>
  </si>
  <si>
    <t>Lm, Lм</t>
  </si>
  <si>
    <t xml:space="preserve"> - мінімально, максимально дозволена штанга для холодильнику</t>
  </si>
  <si>
    <t>Lappx</t>
  </si>
  <si>
    <t>[#]</t>
  </si>
  <si>
    <t>Li</t>
  </si>
  <si>
    <t>[%]</t>
  </si>
  <si>
    <t>[m]</t>
  </si>
  <si>
    <t>Мера, Lc=</t>
  </si>
  <si>
    <t>Lм=</t>
  </si>
  <si>
    <t>Lm=</t>
  </si>
  <si>
    <t>Lappx=</t>
  </si>
  <si>
    <t>NN</t>
  </si>
  <si>
    <t>L0</t>
  </si>
  <si>
    <t>Delta</t>
  </si>
  <si>
    <t>nDelta</t>
  </si>
  <si>
    <t>nDmax</t>
  </si>
  <si>
    <t xml:space="preserve"> - прогноз довжини розкату після 23 кліті</t>
  </si>
  <si>
    <t>Раскат Lт, [м]</t>
  </si>
  <si>
    <t xml:space="preserve"> - запас, який додаємо до штанги, про всяк випадок </t>
  </si>
  <si>
    <t xml:space="preserve"> - довжина штанги, розрахована за цим алгоритмом</t>
  </si>
  <si>
    <t xml:space="preserve"> - число мір у штанзі Li</t>
  </si>
  <si>
    <t xml:space="preserve"> - кількість штанг (полос) у розкаті, p = P - 1</t>
  </si>
  <si>
    <t>0</t>
  </si>
  <si>
    <t>nDrequired</t>
  </si>
  <si>
    <t>nDrequi1</t>
  </si>
  <si>
    <t>oLast</t>
  </si>
  <si>
    <t>1</t>
  </si>
  <si>
    <t>OptLast=</t>
  </si>
  <si>
    <t>SoftL=</t>
  </si>
  <si>
    <t>OptLast</t>
  </si>
  <si>
    <t>SoftL</t>
  </si>
  <si>
    <t xml:space="preserve"> - мягкое распределение длин непоследних штанг</t>
  </si>
  <si>
    <t>For OptLast=1, [m]</t>
  </si>
  <si>
    <t>Alike</t>
  </si>
  <si>
    <t>Failure</t>
  </si>
  <si>
    <t xml:space="preserve"> - оптимизация длины последней штанги, с целью попасть в середину диапазона Lm-Lм.</t>
  </si>
  <si>
    <t xml:space="preserve">  Не рекомендуется использовать без SoftL</t>
  </si>
  <si>
    <t>- угар + обрезка переднего конца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</si>
</sst>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 Light"/>
      <family val="2"/>
      <charset val="204"/>
    </font>
    <font>
      <sz val="13"/>
      <color theme="1"/>
      <name val="Calibri Light"/>
      <family val="2"/>
      <charset val="204"/>
    </font>
    <font>
      <b/>
      <sz val="13"/>
      <color theme="1"/>
      <name val="Calibri Light"/>
      <family val="2"/>
      <charset val="204"/>
    </font>
    <font>
      <sz val="12"/>
      <color theme="1"/>
      <name val="Calibri Light"/>
      <family val="2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3"/>
      <color rgb="FFC00000"/>
      <name val="Calibri Light"/>
      <family val="2"/>
      <charset val="204"/>
    </font>
    <font>
      <sz val="11"/>
      <name val="Calibri"/>
      <family val="2"/>
      <charset val="204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10"/>
      <color rgb="FF000000"/>
      <name val="Arial"/>
      <family val="2"/>
      <charset val="204"/>
    </font>
    <font>
      <sz val="16"/>
      <color theme="1"/>
      <name val="Calibri"/>
      <family val="2"/>
      <scheme val="minor"/>
    </font>
    <font>
      <sz val="11"/>
      <color theme="1"/>
      <name val="Calibri Light"/>
      <family val="2"/>
      <charset val="204"/>
    </font>
    <font>
      <sz val="14"/>
      <color rgb="FF00B050"/>
      <name val="Calibri Light"/>
      <family val="2"/>
      <charset val="204"/>
    </font>
    <font>
      <sz val="14"/>
      <color rgb="FFFF0000"/>
      <name val="Calibri Light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color theme="1"/>
      <name val="Calibri Light"/>
      <family val="2"/>
      <charset val="204"/>
    </font>
    <font>
      <b/>
      <sz val="18"/>
      <color theme="1"/>
      <name val="Calibri Light"/>
      <family val="2"/>
      <charset val="204"/>
    </font>
    <font>
      <sz val="12"/>
      <name val="Calibri Light"/>
      <family val="2"/>
      <charset val="204"/>
    </font>
    <font>
      <b/>
      <sz val="12"/>
      <name val="Calibri Light"/>
      <family val="2"/>
      <charset val="204"/>
    </font>
    <font>
      <sz val="12"/>
      <name val="Calibri"/>
      <family val="2"/>
      <scheme val="minor"/>
    </font>
    <font>
      <sz val="12"/>
      <name val="Calibri"/>
      <family val="2"/>
      <charset val="204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i/>
      <sz val="10"/>
      <color theme="0" tint="-0.499984740745262"/>
      <name val="Calibri Light"/>
      <family val="2"/>
      <charset val="204"/>
    </font>
    <font>
      <sz val="11"/>
      <color theme="0" tint="-0.499984740745262"/>
      <name val="Calibri Light"/>
      <family val="2"/>
      <charset val="204"/>
    </font>
    <font>
      <sz val="15"/>
      <name val="Calibri"/>
      <family val="2"/>
      <charset val="204"/>
    </font>
    <font>
      <sz val="15"/>
      <color theme="1"/>
      <name val="Calibri"/>
      <family val="2"/>
      <charset val="204"/>
      <scheme val="minor"/>
    </font>
    <font>
      <b/>
      <sz val="13"/>
      <color theme="1"/>
      <name val="Calibri Light"/>
      <family val="2"/>
      <charset val="204"/>
    </font>
    <font>
      <sz val="10"/>
      <name val="Calibri Light"/>
      <family val="2"/>
      <charset val="204"/>
    </font>
    <font>
      <b/>
      <sz val="12"/>
      <color theme="1"/>
      <name val="Calibri Light"/>
      <family val="2"/>
      <charset val="204"/>
    </font>
    <font>
      <sz val="18"/>
      <color rgb="FF000000"/>
      <name val="Calibri Light"/>
      <family val="2"/>
    </font>
    <font>
      <sz val="14"/>
      <color theme="1"/>
      <name val="Calibri Light"/>
      <family val="2"/>
    </font>
    <font>
      <sz val="15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3CCB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EBF5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227">
    <xf numFmtId="0" fontId="0" fillId="0" borderId="0" xfId="0"/>
    <xf numFmtId="0" fontId="10" fillId="0" borderId="0" xfId="0" applyFont="1" applyAlignment="1">
      <alignment horizontal="center"/>
    </xf>
    <xf numFmtId="0" fontId="6" fillId="0" borderId="0" xfId="0" applyFont="1"/>
    <xf numFmtId="0" fontId="11" fillId="0" borderId="2" xfId="0" applyFont="1" applyBorder="1"/>
    <xf numFmtId="0" fontId="12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2" fontId="11" fillId="0" borderId="2" xfId="0" applyNumberFormat="1" applyFont="1" applyBorder="1"/>
    <xf numFmtId="0" fontId="12" fillId="0" borderId="2" xfId="0" applyFont="1" applyBorder="1"/>
    <xf numFmtId="0" fontId="13" fillId="0" borderId="2" xfId="0" applyFont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4" fontId="12" fillId="0" borderId="2" xfId="0" applyNumberFormat="1" applyFont="1" applyBorder="1"/>
    <xf numFmtId="0" fontId="15" fillId="0" borderId="0" xfId="0" applyFont="1" applyAlignment="1">
      <alignment horizontal="center"/>
    </xf>
    <xf numFmtId="0" fontId="0" fillId="0" borderId="0" xfId="0" applyProtection="1">
      <protection hidden="1"/>
    </xf>
    <xf numFmtId="164" fontId="3" fillId="3" borderId="2" xfId="0" applyNumberFormat="1" applyFont="1" applyFill="1" applyBorder="1" applyProtection="1">
      <protection hidden="1"/>
    </xf>
    <xf numFmtId="2" fontId="5" fillId="0" borderId="2" xfId="0" applyNumberFormat="1" applyFont="1" applyBorder="1" applyProtection="1">
      <protection hidden="1"/>
    </xf>
    <xf numFmtId="165" fontId="16" fillId="0" borderId="2" xfId="0" applyNumberFormat="1" applyFont="1" applyBorder="1" applyProtection="1">
      <protection hidden="1"/>
    </xf>
    <xf numFmtId="164" fontId="8" fillId="0" borderId="0" xfId="0" applyNumberFormat="1" applyFont="1" applyAlignment="1" applyProtection="1">
      <alignment horizontal="center"/>
      <protection hidden="1"/>
    </xf>
    <xf numFmtId="164" fontId="3" fillId="0" borderId="0" xfId="0" applyNumberFormat="1" applyFont="1" applyProtection="1">
      <protection hidden="1"/>
    </xf>
    <xf numFmtId="164" fontId="7" fillId="3" borderId="2" xfId="0" applyNumberFormat="1" applyFont="1" applyFill="1" applyBorder="1" applyProtection="1">
      <protection hidden="1"/>
    </xf>
    <xf numFmtId="165" fontId="7" fillId="0" borderId="2" xfId="0" applyNumberFormat="1" applyFont="1" applyBorder="1" applyProtection="1">
      <protection hidden="1"/>
    </xf>
    <xf numFmtId="165" fontId="7" fillId="0" borderId="0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165" fontId="7" fillId="0" borderId="0" xfId="0" applyNumberFormat="1" applyFont="1" applyAlignment="1" applyProtection="1">
      <alignment horizontal="left"/>
      <protection hidden="1"/>
    </xf>
    <xf numFmtId="165" fontId="5" fillId="0" borderId="2" xfId="0" applyNumberFormat="1" applyFont="1" applyBorder="1" applyAlignment="1" applyProtection="1">
      <alignment horizontal="left"/>
      <protection hidden="1"/>
    </xf>
    <xf numFmtId="165" fontId="16" fillId="0" borderId="2" xfId="0" applyNumberFormat="1" applyFont="1" applyBorder="1" applyAlignment="1" applyProtection="1">
      <alignment horizontal="left"/>
      <protection hidden="1"/>
    </xf>
    <xf numFmtId="0" fontId="0" fillId="0" borderId="0" xfId="0" applyBorder="1" applyProtection="1">
      <protection hidden="1"/>
    </xf>
    <xf numFmtId="2" fontId="7" fillId="0" borderId="0" xfId="0" applyNumberFormat="1" applyFont="1" applyBorder="1" applyProtection="1">
      <protection hidden="1"/>
    </xf>
    <xf numFmtId="164" fontId="4" fillId="3" borderId="2" xfId="0" applyNumberFormat="1" applyFont="1" applyFill="1" applyBorder="1" applyProtection="1">
      <protection hidden="1"/>
    </xf>
    <xf numFmtId="164" fontId="4" fillId="0" borderId="0" xfId="0" applyNumberFormat="1" applyFont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right"/>
      <protection hidden="1"/>
    </xf>
    <xf numFmtId="164" fontId="3" fillId="0" borderId="0" xfId="0" applyNumberFormat="1" applyFont="1" applyAlignment="1" applyProtection="1">
      <alignment horizontal="right"/>
      <protection hidden="1"/>
    </xf>
    <xf numFmtId="165" fontId="16" fillId="0" borderId="3" xfId="0" applyNumberFormat="1" applyFont="1" applyBorder="1" applyProtection="1">
      <protection hidden="1"/>
    </xf>
    <xf numFmtId="165" fontId="9" fillId="0" borderId="0" xfId="0" applyNumberFormat="1" applyFont="1" applyBorder="1" applyProtection="1">
      <protection hidden="1"/>
    </xf>
    <xf numFmtId="0" fontId="12" fillId="0" borderId="8" xfId="0" applyFont="1" applyBorder="1" applyAlignment="1" applyProtection="1">
      <alignment horizontal="center" wrapText="1"/>
      <protection hidden="1"/>
    </xf>
    <xf numFmtId="1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2" fillId="0" borderId="10" xfId="0" applyFont="1" applyBorder="1" applyAlignment="1" applyProtection="1">
      <alignment horizontal="center" vertical="top" wrapText="1"/>
      <protection hidden="1"/>
    </xf>
    <xf numFmtId="0" fontId="3" fillId="0" borderId="0" xfId="0" applyFont="1" applyAlignment="1" applyProtection="1">
      <alignment horizontal="center"/>
      <protection hidden="1"/>
    </xf>
    <xf numFmtId="164" fontId="5" fillId="0" borderId="0" xfId="0" applyNumberFormat="1" applyFont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164" fontId="3" fillId="0" borderId="0" xfId="0" applyNumberFormat="1" applyFont="1" applyAlignment="1" applyProtection="1">
      <alignment horizontal="center"/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165" fontId="7" fillId="0" borderId="0" xfId="0" applyNumberFormat="1" applyFont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3" fillId="0" borderId="6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164" fontId="12" fillId="0" borderId="2" xfId="0" applyNumberFormat="1" applyFont="1" applyBorder="1"/>
    <xf numFmtId="164" fontId="13" fillId="0" borderId="2" xfId="0" applyNumberFormat="1" applyFont="1" applyBorder="1"/>
    <xf numFmtId="165" fontId="12" fillId="3" borderId="2" xfId="0" applyNumberFormat="1" applyFont="1" applyFill="1" applyBorder="1"/>
    <xf numFmtId="165" fontId="13" fillId="3" borderId="2" xfId="0" applyNumberFormat="1" applyFont="1" applyFill="1" applyBorder="1"/>
    <xf numFmtId="165" fontId="12" fillId="0" borderId="2" xfId="0" applyNumberFormat="1" applyFont="1" applyBorder="1"/>
    <xf numFmtId="165" fontId="13" fillId="0" borderId="2" xfId="0" applyNumberFormat="1" applyFont="1" applyBorder="1"/>
    <xf numFmtId="165" fontId="19" fillId="0" borderId="0" xfId="0" applyNumberFormat="1" applyFont="1" applyBorder="1" applyAlignment="1" applyProtection="1">
      <alignment horizontal="center"/>
      <protection hidden="1"/>
    </xf>
    <xf numFmtId="165" fontId="20" fillId="0" borderId="0" xfId="0" applyNumberFormat="1" applyFont="1" applyBorder="1" applyAlignment="1" applyProtection="1">
      <alignment horizontal="center"/>
      <protection hidden="1"/>
    </xf>
    <xf numFmtId="164" fontId="12" fillId="4" borderId="2" xfId="0" applyNumberFormat="1" applyFont="1" applyFill="1" applyBorder="1"/>
    <xf numFmtId="165" fontId="12" fillId="4" borderId="2" xfId="0" applyNumberFormat="1" applyFont="1" applyFill="1" applyBorder="1"/>
    <xf numFmtId="4" fontId="12" fillId="3" borderId="2" xfId="0" applyNumberFormat="1" applyFont="1" applyFill="1" applyBorder="1"/>
    <xf numFmtId="0" fontId="0" fillId="0" borderId="2" xfId="0" applyBorder="1" applyAlignment="1" applyProtection="1">
      <alignment vertical="center"/>
      <protection hidden="1"/>
    </xf>
    <xf numFmtId="164" fontId="0" fillId="0" borderId="2" xfId="0" applyNumberFormat="1" applyBorder="1" applyProtection="1">
      <protection hidden="1"/>
    </xf>
    <xf numFmtId="164" fontId="18" fillId="0" borderId="2" xfId="0" applyNumberFormat="1" applyFont="1" applyBorder="1" applyAlignment="1" applyProtection="1">
      <alignment horizontal="center"/>
      <protection hidden="1"/>
    </xf>
    <xf numFmtId="0" fontId="21" fillId="0" borderId="8" xfId="0" applyFont="1" applyBorder="1" applyAlignment="1" applyProtection="1">
      <alignment horizontal="center" vertical="center" wrapText="1"/>
      <protection locked="0"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13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5" fillId="5" borderId="0" xfId="0" applyFont="1" applyFill="1" applyAlignment="1" applyProtection="1">
      <alignment horizontal="right"/>
      <protection hidden="1"/>
    </xf>
    <xf numFmtId="164" fontId="17" fillId="5" borderId="0" xfId="0" applyNumberFormat="1" applyFont="1" applyFill="1" applyAlignment="1" applyProtection="1">
      <alignment horizontal="left"/>
      <protection hidden="1"/>
    </xf>
    <xf numFmtId="0" fontId="18" fillId="5" borderId="0" xfId="0" applyFont="1" applyFill="1" applyAlignment="1" applyProtection="1">
      <alignment horizontal="left"/>
      <protection hidden="1"/>
    </xf>
    <xf numFmtId="164" fontId="1" fillId="5" borderId="0" xfId="0" applyNumberFormat="1" applyFont="1" applyFill="1" applyProtection="1">
      <protection hidden="1"/>
    </xf>
    <xf numFmtId="164" fontId="2" fillId="5" borderId="4" xfId="0" applyNumberFormat="1" applyFont="1" applyFill="1" applyBorder="1" applyAlignment="1" applyProtection="1">
      <protection hidden="1"/>
    </xf>
    <xf numFmtId="0" fontId="3" fillId="5" borderId="0" xfId="0" applyFont="1" applyFill="1" applyBorder="1" applyProtection="1">
      <protection hidden="1"/>
    </xf>
    <xf numFmtId="164" fontId="17" fillId="5" borderId="0" xfId="0" applyNumberFormat="1" applyFont="1" applyFill="1" applyBorder="1" applyAlignment="1" applyProtection="1">
      <alignment horizontal="left"/>
      <protection hidden="1"/>
    </xf>
    <xf numFmtId="49" fontId="17" fillId="5" borderId="0" xfId="0" applyNumberFormat="1" applyFont="1" applyFill="1" applyProtection="1">
      <protection hidden="1"/>
    </xf>
    <xf numFmtId="164" fontId="23" fillId="0" borderId="5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alignment horizontal="center"/>
      <protection hidden="1"/>
    </xf>
    <xf numFmtId="164" fontId="23" fillId="0" borderId="6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protection hidden="1"/>
    </xf>
    <xf numFmtId="164" fontId="24" fillId="0" borderId="0" xfId="0" applyNumberFormat="1" applyFont="1" applyBorder="1" applyAlignment="1" applyProtection="1">
      <alignment horizontal="center"/>
      <protection hidden="1"/>
    </xf>
    <xf numFmtId="164" fontId="23" fillId="0" borderId="0" xfId="0" applyNumberFormat="1" applyFont="1" applyBorder="1" applyAlignment="1" applyProtection="1">
      <alignment horizontal="left"/>
      <protection hidden="1"/>
    </xf>
    <xf numFmtId="164" fontId="23" fillId="0" borderId="6" xfId="0" applyNumberFormat="1" applyFont="1" applyBorder="1" applyAlignment="1" applyProtection="1">
      <protection hidden="1"/>
    </xf>
    <xf numFmtId="164" fontId="24" fillId="0" borderId="5" xfId="0" applyNumberFormat="1" applyFont="1" applyBorder="1" applyAlignment="1" applyProtection="1">
      <alignment horizontal="center"/>
      <protection hidden="1"/>
    </xf>
    <xf numFmtId="164" fontId="24" fillId="0" borderId="6" xfId="0" applyNumberFormat="1" applyFont="1" applyBorder="1" applyAlignment="1" applyProtection="1">
      <alignment horizontal="center"/>
      <protection hidden="1"/>
    </xf>
    <xf numFmtId="164" fontId="23" fillId="0" borderId="11" xfId="0" applyNumberFormat="1" applyFont="1" applyBorder="1" applyAlignment="1" applyProtection="1">
      <alignment horizontal="center"/>
      <protection hidden="1"/>
    </xf>
    <xf numFmtId="164" fontId="23" fillId="0" borderId="7" xfId="0" applyNumberFormat="1" applyFont="1" applyBorder="1" applyAlignment="1" applyProtection="1">
      <alignment horizontal="center"/>
      <protection hidden="1"/>
    </xf>
    <xf numFmtId="164" fontId="23" fillId="0" borderId="13" xfId="0" applyNumberFormat="1" applyFont="1" applyBorder="1" applyAlignment="1" applyProtection="1">
      <alignment horizontal="center"/>
      <protection hidden="1"/>
    </xf>
    <xf numFmtId="164" fontId="6" fillId="5" borderId="0" xfId="0" applyNumberFormat="1" applyFont="1" applyFill="1" applyProtection="1">
      <protection hidden="1"/>
    </xf>
    <xf numFmtId="0" fontId="6" fillId="5" borderId="0" xfId="0" applyFont="1" applyFill="1" applyProtection="1">
      <protection hidden="1"/>
    </xf>
    <xf numFmtId="0" fontId="6" fillId="0" borderId="0" xfId="0" applyFont="1" applyProtection="1">
      <protection hidden="1"/>
    </xf>
    <xf numFmtId="164" fontId="2" fillId="5" borderId="0" xfId="0" applyNumberFormat="1" applyFont="1" applyFill="1" applyBorder="1" applyAlignment="1" applyProtection="1">
      <protection hidden="1"/>
    </xf>
    <xf numFmtId="164" fontId="16" fillId="5" borderId="0" xfId="0" applyNumberFormat="1" applyFont="1" applyFill="1" applyProtection="1">
      <protection hidden="1"/>
    </xf>
    <xf numFmtId="0" fontId="16" fillId="5" borderId="0" xfId="0" applyFont="1" applyFill="1" applyProtection="1"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Protection="1"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64" fontId="26" fillId="0" borderId="6" xfId="0" applyNumberFormat="1" applyFont="1" applyBorder="1" applyAlignment="1" applyProtection="1">
      <alignment horizontal="center"/>
      <protection hidden="1"/>
    </xf>
    <xf numFmtId="164" fontId="25" fillId="0" borderId="0" xfId="0" applyNumberFormat="1" applyFont="1" applyBorder="1" applyAlignment="1" applyProtection="1">
      <alignment horizontal="center"/>
      <protection hidden="1"/>
    </xf>
    <xf numFmtId="164" fontId="25" fillId="0" borderId="6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Alignment="1" applyProtection="1">
      <protection hidden="1"/>
    </xf>
    <xf numFmtId="164" fontId="27" fillId="0" borderId="0" xfId="0" applyNumberFormat="1" applyFont="1" applyBorder="1" applyAlignment="1" applyProtection="1">
      <alignment horizontal="center"/>
      <protection hidden="1"/>
    </xf>
    <xf numFmtId="164" fontId="28" fillId="0" borderId="0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Alignment="1" applyProtection="1">
      <alignment horizontal="left"/>
      <protection hidden="1"/>
    </xf>
    <xf numFmtId="164" fontId="25" fillId="0" borderId="6" xfId="0" applyNumberFormat="1" applyFont="1" applyBorder="1" applyAlignment="1" applyProtection="1">
      <protection hidden="1"/>
    </xf>
    <xf numFmtId="164" fontId="26" fillId="0" borderId="6" xfId="0" applyNumberFormat="1" applyFont="1" applyBorder="1" applyAlignment="1" applyProtection="1">
      <protection hidden="1"/>
    </xf>
    <xf numFmtId="164" fontId="28" fillId="0" borderId="6" xfId="0" applyNumberFormat="1" applyFont="1" applyBorder="1" applyAlignment="1" applyProtection="1">
      <alignment horizontal="center"/>
      <protection hidden="1"/>
    </xf>
    <xf numFmtId="164" fontId="26" fillId="0" borderId="0" xfId="0" applyNumberFormat="1" applyFont="1" applyBorder="1" applyProtection="1">
      <protection hidden="1"/>
    </xf>
    <xf numFmtId="164" fontId="26" fillId="0" borderId="6" xfId="0" applyNumberFormat="1" applyFont="1" applyBorder="1" applyProtection="1"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64" fontId="23" fillId="0" borderId="5" xfId="0" applyNumberFormat="1" applyFont="1" applyBorder="1" applyAlignment="1" applyProtection="1">
      <alignment horizontal="center" vertical="center"/>
      <protection hidden="1"/>
    </xf>
    <xf numFmtId="164" fontId="23" fillId="0" borderId="0" xfId="0" applyNumberFormat="1" applyFont="1" applyBorder="1" applyAlignment="1" applyProtection="1">
      <alignment horizontal="center" vertical="center"/>
      <protection hidden="1"/>
    </xf>
    <xf numFmtId="164" fontId="25" fillId="0" borderId="0" xfId="0" applyNumberFormat="1" applyFont="1" applyBorder="1" applyAlignment="1" applyProtection="1">
      <alignment horizontal="center" vertical="center"/>
      <protection hidden="1"/>
    </xf>
    <xf numFmtId="164" fontId="25" fillId="0" borderId="6" xfId="0" applyNumberFormat="1" applyFont="1" applyBorder="1" applyAlignment="1" applyProtection="1">
      <alignment horizontal="center" vertical="center"/>
      <protection hidden="1"/>
    </xf>
    <xf numFmtId="164" fontId="26" fillId="0" borderId="6" xfId="0" applyNumberFormat="1" applyFont="1" applyBorder="1" applyAlignment="1" applyProtection="1">
      <alignment horizontal="left"/>
      <protection hidden="1"/>
    </xf>
    <xf numFmtId="164" fontId="25" fillId="0" borderId="6" xfId="0" applyNumberFormat="1" applyFont="1" applyBorder="1" applyProtection="1">
      <protection hidden="1"/>
    </xf>
    <xf numFmtId="164" fontId="29" fillId="5" borderId="0" xfId="0" quotePrefix="1" applyNumberFormat="1" applyFont="1" applyFill="1" applyAlignment="1" applyProtection="1">
      <alignment horizontal="right"/>
      <protection locked="0" hidden="1"/>
    </xf>
    <xf numFmtId="164" fontId="29" fillId="5" borderId="0" xfId="0" applyNumberFormat="1" applyFont="1" applyFill="1" applyAlignment="1" applyProtection="1">
      <alignment horizontal="right"/>
      <protection locked="0" hidden="1"/>
    </xf>
    <xf numFmtId="164" fontId="30" fillId="5" borderId="7" xfId="0" applyNumberFormat="1" applyFont="1" applyFill="1" applyBorder="1" applyAlignment="1" applyProtection="1">
      <alignment horizontal="right"/>
      <protection hidden="1"/>
    </xf>
    <xf numFmtId="165" fontId="0" fillId="0" borderId="0" xfId="0" applyNumberFormat="1" applyProtection="1">
      <protection hidden="1"/>
    </xf>
    <xf numFmtId="164" fontId="17" fillId="0" borderId="9" xfId="0" applyNumberFormat="1" applyFont="1" applyBorder="1" applyAlignment="1" applyProtection="1">
      <alignment horizontal="center" wrapText="1"/>
      <protection hidden="1"/>
    </xf>
    <xf numFmtId="0" fontId="23" fillId="5" borderId="0" xfId="0" applyFont="1" applyFill="1" applyAlignment="1" applyProtection="1">
      <alignment horizontal="right"/>
      <protection hidden="1"/>
    </xf>
    <xf numFmtId="1" fontId="17" fillId="5" borderId="7" xfId="0" applyNumberFormat="1" applyFont="1" applyFill="1" applyBorder="1" applyAlignment="1" applyProtection="1">
      <alignment horizontal="left"/>
      <protection hidden="1"/>
    </xf>
    <xf numFmtId="165" fontId="5" fillId="0" borderId="0" xfId="0" applyNumberFormat="1" applyFont="1" applyAlignment="1" applyProtection="1">
      <alignment horizontal="center"/>
      <protection hidden="1"/>
    </xf>
    <xf numFmtId="165" fontId="5" fillId="5" borderId="0" xfId="0" applyNumberFormat="1" applyFont="1" applyFill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5" borderId="0" xfId="0" applyFont="1" applyFill="1" applyAlignment="1" applyProtection="1">
      <alignment horizontal="center"/>
      <protection hidden="1"/>
    </xf>
    <xf numFmtId="2" fontId="5" fillId="0" borderId="0" xfId="0" applyNumberFormat="1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164" fontId="5" fillId="5" borderId="0" xfId="0" applyNumberFormat="1" applyFont="1" applyFill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  <protection hidden="1"/>
    </xf>
    <xf numFmtId="164" fontId="5" fillId="0" borderId="0" xfId="0" applyNumberFormat="1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1" fontId="5" fillId="0" borderId="0" xfId="0" applyNumberFormat="1" applyFont="1" applyAlignment="1" applyProtection="1">
      <alignment horizontal="center"/>
      <protection hidden="1"/>
    </xf>
    <xf numFmtId="0" fontId="32" fillId="0" borderId="0" xfId="0" applyFont="1" applyAlignment="1">
      <alignment horizontal="center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>
      <alignment horizontal="center" vertical="center" wrapText="1"/>
    </xf>
    <xf numFmtId="4" fontId="12" fillId="0" borderId="2" xfId="0" applyNumberFormat="1" applyFont="1" applyFill="1" applyBorder="1"/>
    <xf numFmtId="165" fontId="12" fillId="0" borderId="2" xfId="0" applyNumberFormat="1" applyFont="1" applyFill="1" applyBorder="1"/>
    <xf numFmtId="165" fontId="13" fillId="0" borderId="2" xfId="0" applyNumberFormat="1" applyFont="1" applyFill="1" applyBorder="1"/>
    <xf numFmtId="0" fontId="11" fillId="0" borderId="2" xfId="0" applyFont="1" applyFill="1" applyBorder="1" applyAlignment="1">
      <alignment vertical="center" textRotation="45"/>
    </xf>
    <xf numFmtId="164" fontId="2" fillId="5" borderId="7" xfId="0" applyNumberFormat="1" applyFont="1" applyFill="1" applyBorder="1" applyAlignment="1" applyProtection="1">
      <protection hidden="1"/>
    </xf>
    <xf numFmtId="0" fontId="0" fillId="5" borderId="0" xfId="0" applyFill="1" applyBorder="1" applyProtection="1">
      <protection hidden="1"/>
    </xf>
    <xf numFmtId="1" fontId="6" fillId="0" borderId="0" xfId="0" applyNumberFormat="1" applyFont="1" applyBorder="1" applyAlignment="1" applyProtection="1">
      <alignment horizontal="center" vertical="center"/>
      <protection hidden="1"/>
    </xf>
    <xf numFmtId="164" fontId="3" fillId="0" borderId="0" xfId="0" applyNumberFormat="1" applyFont="1" applyBorder="1" applyAlignment="1" applyProtection="1">
      <alignment horizontal="center"/>
      <protection hidden="1"/>
    </xf>
    <xf numFmtId="164" fontId="7" fillId="0" borderId="0" xfId="0" applyNumberFormat="1" applyFont="1" applyBorder="1" applyAlignment="1" applyProtection="1">
      <alignment horizont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4" xfId="0" applyNumberFormat="1" applyFont="1" applyBorder="1" applyAlignment="1" applyProtection="1">
      <alignment horizontal="center" vertical="center"/>
      <protection hidden="1"/>
    </xf>
    <xf numFmtId="1" fontId="6" fillId="0" borderId="12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65" fontId="7" fillId="0" borderId="6" xfId="0" applyNumberFormat="1" applyFont="1" applyBorder="1" applyAlignment="1" applyProtection="1">
      <alignment horizontal="center"/>
      <protection hidden="1"/>
    </xf>
    <xf numFmtId="164" fontId="3" fillId="0" borderId="7" xfId="0" applyNumberFormat="1" applyFont="1" applyBorder="1" applyAlignment="1" applyProtection="1">
      <alignment horizontal="center"/>
      <protection hidden="1"/>
    </xf>
    <xf numFmtId="164" fontId="33" fillId="0" borderId="0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64" fontId="5" fillId="0" borderId="7" xfId="0" applyNumberFormat="1" applyFont="1" applyBorder="1" applyAlignment="1" applyProtection="1">
      <alignment horizontal="center"/>
      <protection hidden="1"/>
    </xf>
    <xf numFmtId="164" fontId="1" fillId="5" borderId="0" xfId="0" applyNumberFormat="1" applyFont="1" applyFill="1" applyAlignment="1" applyProtection="1">
      <alignment horizontal="center"/>
      <protection hidden="1"/>
    </xf>
    <xf numFmtId="0" fontId="3" fillId="5" borderId="0" xfId="0" applyFont="1" applyFill="1" applyBorder="1" applyAlignment="1" applyProtection="1">
      <alignment horizontal="center"/>
      <protection hidden="1"/>
    </xf>
    <xf numFmtId="164" fontId="4" fillId="0" borderId="0" xfId="0" applyNumberFormat="1" applyFont="1" applyAlignment="1" applyProtection="1">
      <alignment horizontal="center"/>
      <protection hidden="1"/>
    </xf>
    <xf numFmtId="0" fontId="34" fillId="0" borderId="2" xfId="0" applyFont="1" applyFill="1" applyBorder="1" applyAlignment="1" applyProtection="1">
      <alignment horizontal="center" wrapText="1"/>
      <protection hidden="1"/>
    </xf>
    <xf numFmtId="164" fontId="3" fillId="0" borderId="2" xfId="0" applyNumberFormat="1" applyFont="1" applyBorder="1" applyAlignment="1" applyProtection="1">
      <alignment horizontal="center"/>
      <protection hidden="1"/>
    </xf>
    <xf numFmtId="164" fontId="35" fillId="0" borderId="0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64" fontId="4" fillId="0" borderId="0" xfId="0" applyNumberFormat="1" applyFont="1" applyBorder="1" applyAlignment="1" applyProtection="1">
      <alignment horizontal="center"/>
      <protection hidden="1"/>
    </xf>
    <xf numFmtId="164" fontId="16" fillId="0" borderId="0" xfId="0" applyNumberFormat="1" applyFont="1" applyBorder="1" applyAlignment="1" applyProtection="1">
      <alignment horizontal="center"/>
      <protection hidden="1"/>
    </xf>
    <xf numFmtId="164" fontId="5" fillId="0" borderId="14" xfId="0" applyNumberFormat="1" applyFont="1" applyBorder="1" applyAlignment="1" applyProtection="1">
      <alignment horizontal="center" vertical="center"/>
      <protection hidden="1"/>
    </xf>
    <xf numFmtId="164" fontId="5" fillId="0" borderId="12" xfId="0" applyNumberFormat="1" applyFont="1" applyBorder="1" applyAlignment="1" applyProtection="1">
      <alignment horizontal="center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164" fontId="5" fillId="0" borderId="6" xfId="0" applyNumberFormat="1" applyFont="1" applyBorder="1" applyAlignment="1" applyProtection="1">
      <alignment horizontal="center" vertical="center"/>
      <protection hidden="1"/>
    </xf>
    <xf numFmtId="164" fontId="5" fillId="0" borderId="6" xfId="0" applyNumberFormat="1" applyFont="1" applyBorder="1" applyAlignment="1" applyProtection="1">
      <alignment horizontal="center"/>
      <protection hidden="1"/>
    </xf>
    <xf numFmtId="164" fontId="5" fillId="0" borderId="0" xfId="0" applyNumberFormat="1" applyFont="1" applyBorder="1" applyProtection="1">
      <protection hidden="1"/>
    </xf>
    <xf numFmtId="164" fontId="35" fillId="0" borderId="6" xfId="0" applyNumberFormat="1" applyFont="1" applyBorder="1" applyAlignment="1" applyProtection="1">
      <alignment horizontal="center"/>
      <protection hidden="1"/>
    </xf>
    <xf numFmtId="164" fontId="5" fillId="0" borderId="13" xfId="0" applyNumberFormat="1" applyFont="1" applyBorder="1" applyAlignment="1" applyProtection="1">
      <alignment horizontal="center"/>
      <protection hidden="1"/>
    </xf>
    <xf numFmtId="164" fontId="16" fillId="0" borderId="6" xfId="0" applyNumberFormat="1" applyFont="1" applyBorder="1" applyAlignment="1" applyProtection="1">
      <alignment horizontal="center"/>
      <protection hidden="1"/>
    </xf>
    <xf numFmtId="164" fontId="16" fillId="0" borderId="0" xfId="0" applyNumberFormat="1" applyFont="1" applyBorder="1" applyProtection="1">
      <protection hidden="1"/>
    </xf>
    <xf numFmtId="164" fontId="3" fillId="0" borderId="6" xfId="0" applyNumberFormat="1" applyFont="1" applyBorder="1" applyAlignment="1" applyProtection="1">
      <alignment horizontal="center"/>
      <protection hidden="1"/>
    </xf>
    <xf numFmtId="164" fontId="16" fillId="0" borderId="6" xfId="0" applyNumberFormat="1" applyFont="1" applyBorder="1" applyProtection="1">
      <protection hidden="1"/>
    </xf>
    <xf numFmtId="164" fontId="3" fillId="0" borderId="13" xfId="0" applyNumberFormat="1" applyFont="1" applyBorder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164" fontId="35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Fill="1" applyAlignment="1" applyProtection="1">
      <alignment horizontal="center"/>
      <protection hidden="1"/>
    </xf>
    <xf numFmtId="164" fontId="5" fillId="0" borderId="2" xfId="0" applyNumberFormat="1" applyFont="1" applyBorder="1" applyAlignment="1" applyProtection="1">
      <alignment horizontal="center"/>
      <protection hidden="1"/>
    </xf>
    <xf numFmtId="10" fontId="38" fillId="0" borderId="0" xfId="0" applyNumberFormat="1" applyFont="1"/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7" xfId="0" applyBorder="1" applyAlignment="1">
      <alignment horizontal="right"/>
    </xf>
    <xf numFmtId="0" fontId="11" fillId="3" borderId="9" xfId="0" applyFont="1" applyFill="1" applyBorder="1" applyAlignment="1">
      <alignment horizontal="center" vertical="center" textRotation="45"/>
    </xf>
    <xf numFmtId="0" fontId="11" fillId="3" borderId="10" xfId="0" applyFont="1" applyFill="1" applyBorder="1" applyAlignment="1">
      <alignment horizontal="center" vertical="center" textRotation="45"/>
    </xf>
    <xf numFmtId="49" fontId="37" fillId="0" borderId="0" xfId="0" applyNumberFormat="1" applyFont="1" applyAlignment="1">
      <alignment horizontal="left"/>
    </xf>
    <xf numFmtId="1" fontId="6" fillId="0" borderId="8" xfId="0" applyNumberFormat="1" applyFont="1" applyBorder="1" applyAlignment="1" applyProtection="1">
      <alignment horizontal="center" vertical="center"/>
      <protection hidden="1"/>
    </xf>
    <xf numFmtId="1" fontId="6" fillId="0" borderId="10" xfId="0" applyNumberFormat="1" applyFont="1" applyBorder="1" applyAlignment="1" applyProtection="1">
      <alignment horizontal="center" vertical="center"/>
      <protection hidden="1"/>
    </xf>
    <xf numFmtId="0" fontId="22" fillId="0" borderId="0" xfId="0" applyFont="1" applyFill="1" applyAlignment="1" applyProtection="1">
      <alignment horizontal="center" vertical="center" textRotation="90"/>
      <protection hidden="1"/>
    </xf>
    <xf numFmtId="0" fontId="22" fillId="0" borderId="7" xfId="0" applyFont="1" applyFill="1" applyBorder="1" applyAlignment="1" applyProtection="1">
      <alignment horizontal="center" vertical="center" textRotation="90"/>
      <protection hidden="1"/>
    </xf>
    <xf numFmtId="1" fontId="5" fillId="0" borderId="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1" fontId="5" fillId="0" borderId="8" xfId="0" applyNumberFormat="1" applyFont="1" applyBorder="1" applyAlignment="1" applyProtection="1">
      <alignment horizontal="center" vertical="center"/>
      <protection hidden="1"/>
    </xf>
    <xf numFmtId="1" fontId="5" fillId="0" borderId="10" xfId="0" applyNumberFormat="1" applyFont="1" applyBorder="1" applyAlignment="1" applyProtection="1">
      <alignment horizontal="center" vertical="center"/>
      <protection hidden="1"/>
    </xf>
    <xf numFmtId="1" fontId="16" fillId="0" borderId="8" xfId="0" applyNumberFormat="1" applyFont="1" applyBorder="1" applyAlignment="1" applyProtection="1">
      <alignment horizontal="center" vertical="center"/>
      <protection hidden="1"/>
    </xf>
    <xf numFmtId="1" fontId="16" fillId="0" borderId="10" xfId="0" applyNumberFormat="1" applyFont="1" applyBorder="1" applyAlignment="1" applyProtection="1">
      <alignment horizontal="center" vertical="center"/>
      <protection hidden="1"/>
    </xf>
    <xf numFmtId="1" fontId="0" fillId="0" borderId="8" xfId="0" applyNumberFormat="1" applyFont="1" applyBorder="1" applyAlignment="1" applyProtection="1">
      <alignment horizontal="center" vertical="center"/>
      <protection hidden="1"/>
    </xf>
    <xf numFmtId="1" fontId="0" fillId="0" borderId="10" xfId="0" applyNumberFormat="1" applyFont="1" applyBorder="1" applyAlignment="1" applyProtection="1">
      <alignment horizontal="center" vertical="center"/>
      <protection hidden="1"/>
    </xf>
    <xf numFmtId="164" fontId="3" fillId="0" borderId="2" xfId="0" applyNumberFormat="1" applyFont="1" applyFill="1" applyBorder="1" applyProtection="1">
      <protection hidden="1"/>
    </xf>
    <xf numFmtId="164" fontId="7" fillId="0" borderId="2" xfId="0" applyNumberFormat="1" applyFont="1" applyFill="1" applyBorder="1" applyProtection="1">
      <protection hidden="1"/>
    </xf>
    <xf numFmtId="164" fontId="4" fillId="0" borderId="2" xfId="0" applyNumberFormat="1" applyFont="1" applyFill="1" applyBorder="1" applyProtection="1">
      <protection hidden="1"/>
    </xf>
  </cellXfs>
  <cellStyles count="1">
    <cellStyle name="Звичайний" xfId="0" builtinId="0"/>
  </cellStyles>
  <dxfs count="0"/>
  <tableStyles count="0" defaultTableStyle="TableStyleMedium2" defaultPivotStyle="PivotStyleMedium9"/>
  <colors>
    <mruColors>
      <color rgb="FFEBF5FF"/>
      <color rgb="FFFFFFCC"/>
      <color rgb="FFFFEB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9217" name="Button 1" descr="A7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9218" name="Button 2" descr="A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9219" name="Button 3" descr="A7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#10new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8193" name="Button 1" descr="A7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8194" name="Button 2" descr="A7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8195" name="Button 3" descr="A7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#12new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025" name="Button 1" descr="A7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026" name="Button 2" descr="A7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027" name="Button 3" descr="A7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#14new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6145" name="Button 1" descr="A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6146" name="Button 2" descr="A7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6147" name="Button 3" descr="A7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#16new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7169" name="Button 1" descr="A7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7170" name="Button 2" descr="A7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7171" name="Button 3" descr="A7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#18new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4337" name="Button 1" descr="A7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4338" name="Button 2" descr="A7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4339" name="Button 3" descr="A7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#20new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5361" name="Button 1" descr="A7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5362" name="Button 2" descr="A7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5363" name="Button 3" descr="A7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#22new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6385" name="Button 1" descr="A7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6386" name="Button 2" descr="A7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6387" name="Button 3" descr="A7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#24new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20481" name="Button 1" descr="A7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20482" name="Button 2" descr="A7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9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20483" name="Button 3" descr="A7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#25new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7409" name="Button 1" descr="A7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7410" name="Button 2" descr="A7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7411" name="Button 3" descr="A7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A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7412" name="Button 4" descr="A7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A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7413" name="Button 5" descr="A7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A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7414" name="Button 6" descr="A7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A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#28new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24577" name="Button 1" descr="A7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24578" name="Button 2" descr="A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B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24579" name="Button 3" descr="A7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B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24580" name="Button 4" descr="A7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B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24581" name="Button 5" descr="A7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B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24582" name="Button 6" descr="A7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B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#30new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8433" name="Button 1" descr="A7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8434" name="Button 2" descr="A7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8435" name="Button 3" descr="A7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C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22860</xdr:rowOff>
        </xdr:from>
        <xdr:to>
          <xdr:col>0</xdr:col>
          <xdr:colOff>586740</xdr:colOff>
          <xdr:row>8</xdr:row>
          <xdr:rowOff>510540</xdr:rowOff>
        </xdr:to>
        <xdr:sp macro="" textlink="">
          <xdr:nvSpPr>
            <xdr:cNvPr id="18436" name="Button 4" descr="A7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C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</xdr:row>
          <xdr:rowOff>22860</xdr:rowOff>
        </xdr:from>
        <xdr:to>
          <xdr:col>0</xdr:col>
          <xdr:colOff>586740</xdr:colOff>
          <xdr:row>58</xdr:row>
          <xdr:rowOff>510540</xdr:rowOff>
        </xdr:to>
        <xdr:sp macro="" textlink="">
          <xdr:nvSpPr>
            <xdr:cNvPr id="18437" name="Button 5" descr="A7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C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106</xdr:row>
          <xdr:rowOff>22860</xdr:rowOff>
        </xdr:from>
        <xdr:to>
          <xdr:col>0</xdr:col>
          <xdr:colOff>586740</xdr:colOff>
          <xdr:row>108</xdr:row>
          <xdr:rowOff>510540</xdr:rowOff>
        </xdr:to>
        <xdr:sp macro="" textlink="">
          <xdr:nvSpPr>
            <xdr:cNvPr id="18438" name="Button 6" descr="A7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C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#32new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фіс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T31"/>
  <sheetViews>
    <sheetView zoomScale="90" zoomScaleNormal="90" workbookViewId="0">
      <selection activeCell="K25" sqref="K25"/>
    </sheetView>
  </sheetViews>
  <sheetFormatPr defaultRowHeight="14.4" x14ac:dyDescent="0.3"/>
  <cols>
    <col min="1" max="1" width="4.6640625" customWidth="1"/>
    <col min="2" max="2" width="9.33203125" customWidth="1"/>
    <col min="3" max="4" width="10.6640625" customWidth="1"/>
    <col min="5" max="9" width="9.6640625" customWidth="1"/>
    <col min="10" max="16" width="8.6640625" customWidth="1"/>
    <col min="17" max="17" width="9.6640625" customWidth="1"/>
    <col min="18" max="20" width="8.6640625" customWidth="1"/>
  </cols>
  <sheetData>
    <row r="2" spans="1:20" ht="15" thickBot="1" x14ac:dyDescent="0.35">
      <c r="A2" s="206" t="s">
        <v>34</v>
      </c>
      <c r="B2" s="206"/>
      <c r="C2" s="206"/>
      <c r="D2" s="206"/>
      <c r="E2" s="65">
        <v>224.69</v>
      </c>
      <c r="F2" s="65"/>
      <c r="G2" s="65"/>
      <c r="H2" s="65"/>
      <c r="I2" s="65"/>
    </row>
    <row r="3" spans="1:20" ht="40.35" customHeight="1" thickBot="1" x14ac:dyDescent="0.35">
      <c r="A3" s="3"/>
      <c r="B3" s="4" t="s">
        <v>0</v>
      </c>
      <c r="C3" s="4" t="s">
        <v>1</v>
      </c>
      <c r="D3" s="4" t="s">
        <v>33</v>
      </c>
      <c r="E3" s="5" t="s">
        <v>2</v>
      </c>
      <c r="F3" s="47">
        <v>7</v>
      </c>
      <c r="G3" s="47">
        <v>7.5</v>
      </c>
      <c r="H3" s="47">
        <v>8</v>
      </c>
      <c r="I3" s="47">
        <v>8.5</v>
      </c>
      <c r="J3" s="47">
        <v>9</v>
      </c>
      <c r="K3" s="47">
        <v>9.5</v>
      </c>
      <c r="L3" s="55">
        <v>10</v>
      </c>
      <c r="M3" s="47">
        <v>10.5</v>
      </c>
      <c r="N3" s="47">
        <v>11</v>
      </c>
      <c r="O3" s="47">
        <v>11.2</v>
      </c>
      <c r="P3" s="47">
        <v>11.4</v>
      </c>
      <c r="Q3" s="48">
        <v>11.6</v>
      </c>
      <c r="R3" s="47">
        <v>11.8</v>
      </c>
      <c r="S3" s="55">
        <v>12</v>
      </c>
      <c r="T3" s="6"/>
    </row>
    <row r="4" spans="1:20" ht="15.15" customHeight="1" x14ac:dyDescent="0.3">
      <c r="A4" s="7">
        <v>1</v>
      </c>
      <c r="B4" s="147" t="s">
        <v>13</v>
      </c>
      <c r="C4" s="9">
        <v>0.39500000000000002</v>
      </c>
      <c r="D4" s="9">
        <v>0.50270000000000004</v>
      </c>
      <c r="E4" s="148">
        <f>E$2 / D4 * (1 - $K$25)</f>
        <v>442.49671772428877</v>
      </c>
      <c r="F4" s="149">
        <f>F$3 * $E4</f>
        <v>3097.4770240700213</v>
      </c>
      <c r="G4" s="149">
        <f t="shared" ref="G4:S19" si="0">G$3 * $E4</f>
        <v>3318.7253829321658</v>
      </c>
      <c r="H4" s="149">
        <f t="shared" si="0"/>
        <v>3539.9737417943102</v>
      </c>
      <c r="I4" s="149">
        <f t="shared" si="0"/>
        <v>3761.2221006564546</v>
      </c>
      <c r="J4" s="149">
        <f>J$3 * $E4</f>
        <v>3982.470459518599</v>
      </c>
      <c r="K4" s="149">
        <f t="shared" ref="K4:S8" si="1">K$3 * $E4</f>
        <v>4203.718818380743</v>
      </c>
      <c r="L4" s="56">
        <f t="shared" si="1"/>
        <v>4424.9671772428874</v>
      </c>
      <c r="M4" s="149">
        <f t="shared" si="1"/>
        <v>4646.2155361050318</v>
      </c>
      <c r="N4" s="149">
        <f t="shared" si="1"/>
        <v>4867.4638949671762</v>
      </c>
      <c r="O4" s="149">
        <f t="shared" si="1"/>
        <v>4955.963238512034</v>
      </c>
      <c r="P4" s="149">
        <f t="shared" si="1"/>
        <v>5044.4625820568917</v>
      </c>
      <c r="Q4" s="150">
        <f t="shared" si="1"/>
        <v>5132.9619256017495</v>
      </c>
      <c r="R4" s="149">
        <f t="shared" si="1"/>
        <v>5221.4612691466082</v>
      </c>
      <c r="S4" s="56">
        <f t="shared" si="1"/>
        <v>5309.960612691465</v>
      </c>
      <c r="T4" s="151"/>
    </row>
    <row r="5" spans="1:20" ht="15.15" customHeight="1" x14ac:dyDescent="0.3">
      <c r="A5" s="7">
        <f>1+A4</f>
        <v>2</v>
      </c>
      <c r="B5" s="64" t="s">
        <v>15</v>
      </c>
      <c r="C5" s="9">
        <v>0.61599999999999999</v>
      </c>
      <c r="D5" s="9">
        <v>0.78539999999999999</v>
      </c>
      <c r="E5" s="57">
        <f>E$2 / D5 /2 * (1 - $K$25)</f>
        <v>141.61134453781511</v>
      </c>
      <c r="F5" s="49">
        <f t="shared" ref="F5:F19" si="2">F$3 * $E5</f>
        <v>991.27941176470586</v>
      </c>
      <c r="G5" s="49">
        <f t="shared" si="0"/>
        <v>1062.0850840336134</v>
      </c>
      <c r="H5" s="49">
        <f t="shared" si="0"/>
        <v>1132.8907563025209</v>
      </c>
      <c r="I5" s="49">
        <f t="shared" si="0"/>
        <v>1203.6964285714284</v>
      </c>
      <c r="J5" s="49">
        <f t="shared" si="0"/>
        <v>1274.502100840336</v>
      </c>
      <c r="K5" s="49">
        <f t="shared" si="1"/>
        <v>1345.3077731092435</v>
      </c>
      <c r="L5" s="56">
        <f t="shared" si="1"/>
        <v>1416.113445378151</v>
      </c>
      <c r="M5" s="49">
        <f t="shared" si="1"/>
        <v>1486.9191176470588</v>
      </c>
      <c r="N5" s="49">
        <f t="shared" si="1"/>
        <v>1557.7247899159663</v>
      </c>
      <c r="O5" s="49">
        <f t="shared" si="1"/>
        <v>1586.0470588235291</v>
      </c>
      <c r="P5" s="49">
        <f t="shared" si="1"/>
        <v>1614.3693277310924</v>
      </c>
      <c r="Q5" s="50">
        <f t="shared" si="1"/>
        <v>1642.6915966386553</v>
      </c>
      <c r="R5" s="49">
        <f t="shared" si="1"/>
        <v>1671.0138655462185</v>
      </c>
      <c r="S5" s="56">
        <f t="shared" si="1"/>
        <v>1699.3361344537814</v>
      </c>
      <c r="T5" s="207" t="s">
        <v>26</v>
      </c>
    </row>
    <row r="6" spans="1:20" x14ac:dyDescent="0.3">
      <c r="A6" s="7">
        <f t="shared" ref="A6:A19" si="3">1+A5</f>
        <v>3</v>
      </c>
      <c r="B6" s="64" t="s">
        <v>16</v>
      </c>
      <c r="C6" s="9">
        <v>0.88800000000000001</v>
      </c>
      <c r="D6" s="9">
        <v>1.131</v>
      </c>
      <c r="E6" s="57">
        <f>E$2 / D6 /2 * (1 - $K$25)</f>
        <v>98.339124668435005</v>
      </c>
      <c r="F6" s="49">
        <f t="shared" si="2"/>
        <v>688.37387267904501</v>
      </c>
      <c r="G6" s="49">
        <f t="shared" si="0"/>
        <v>737.54343501326252</v>
      </c>
      <c r="H6" s="49">
        <f t="shared" si="0"/>
        <v>786.71299734748004</v>
      </c>
      <c r="I6" s="49">
        <f t="shared" si="0"/>
        <v>835.88255968169756</v>
      </c>
      <c r="J6" s="49">
        <f t="shared" si="0"/>
        <v>885.05212201591507</v>
      </c>
      <c r="K6" s="49">
        <f t="shared" si="1"/>
        <v>934.22168435013259</v>
      </c>
      <c r="L6" s="56">
        <f t="shared" si="1"/>
        <v>983.39124668435011</v>
      </c>
      <c r="M6" s="49">
        <f t="shared" si="1"/>
        <v>1032.5608090185676</v>
      </c>
      <c r="N6" s="49">
        <f t="shared" si="1"/>
        <v>1081.7303713527851</v>
      </c>
      <c r="O6" s="49">
        <f t="shared" si="1"/>
        <v>1101.3981962864721</v>
      </c>
      <c r="P6" s="49">
        <f t="shared" si="1"/>
        <v>1121.0660212201592</v>
      </c>
      <c r="Q6" s="50">
        <f t="shared" si="1"/>
        <v>1140.7338461538461</v>
      </c>
      <c r="R6" s="49">
        <f t="shared" si="1"/>
        <v>1160.401671087533</v>
      </c>
      <c r="S6" s="56">
        <f t="shared" si="1"/>
        <v>1180.0694960212199</v>
      </c>
      <c r="T6" s="207"/>
    </row>
    <row r="7" spans="1:20" x14ac:dyDescent="0.3">
      <c r="A7" s="7">
        <f t="shared" si="3"/>
        <v>4</v>
      </c>
      <c r="B7" s="64" t="s">
        <v>14</v>
      </c>
      <c r="C7" s="9">
        <v>1.21</v>
      </c>
      <c r="D7" s="9">
        <v>1.5389999999999999</v>
      </c>
      <c r="E7" s="57">
        <f>E$2 / D7 /2 * (1 - $K$25)</f>
        <v>72.26871345029241</v>
      </c>
      <c r="F7" s="49">
        <f t="shared" si="2"/>
        <v>505.88099415204687</v>
      </c>
      <c r="G7" s="49">
        <f t="shared" si="0"/>
        <v>542.0153508771931</v>
      </c>
      <c r="H7" s="49">
        <f t="shared" si="0"/>
        <v>578.14970760233928</v>
      </c>
      <c r="I7" s="49">
        <f t="shared" si="0"/>
        <v>614.28406432748545</v>
      </c>
      <c r="J7" s="49">
        <f t="shared" si="0"/>
        <v>650.41842105263163</v>
      </c>
      <c r="K7" s="49">
        <f t="shared" si="1"/>
        <v>686.55277777777792</v>
      </c>
      <c r="L7" s="56">
        <f t="shared" si="1"/>
        <v>722.6871345029241</v>
      </c>
      <c r="M7" s="49">
        <f t="shared" si="1"/>
        <v>758.82149122807027</v>
      </c>
      <c r="N7" s="49">
        <f t="shared" si="1"/>
        <v>794.95584795321656</v>
      </c>
      <c r="O7" s="49">
        <f t="shared" si="1"/>
        <v>809.4095906432749</v>
      </c>
      <c r="P7" s="49">
        <f t="shared" si="1"/>
        <v>823.86333333333346</v>
      </c>
      <c r="Q7" s="50">
        <f t="shared" si="1"/>
        <v>838.31707602339191</v>
      </c>
      <c r="R7" s="49">
        <f t="shared" si="1"/>
        <v>852.77081871345047</v>
      </c>
      <c r="S7" s="56">
        <f t="shared" si="1"/>
        <v>867.22456140350891</v>
      </c>
      <c r="T7" s="207"/>
    </row>
    <row r="8" spans="1:20" x14ac:dyDescent="0.3">
      <c r="A8" s="7">
        <f t="shared" si="3"/>
        <v>5</v>
      </c>
      <c r="B8" s="64" t="s">
        <v>10</v>
      </c>
      <c r="C8" s="9">
        <v>1.58</v>
      </c>
      <c r="D8" s="9">
        <v>2.0110000000000001</v>
      </c>
      <c r="E8" s="57">
        <f t="shared" ref="E8" si="4">E$2 / D8 /2</f>
        <v>55.865241173545499</v>
      </c>
      <c r="F8" s="49">
        <f t="shared" si="2"/>
        <v>391.05668821481851</v>
      </c>
      <c r="G8" s="49">
        <f t="shared" si="0"/>
        <v>418.98930880159122</v>
      </c>
      <c r="H8" s="49">
        <f t="shared" si="0"/>
        <v>446.92192938836399</v>
      </c>
      <c r="I8" s="49">
        <f t="shared" si="0"/>
        <v>474.85454997513676</v>
      </c>
      <c r="J8" s="49">
        <f t="shared" si="0"/>
        <v>502.78717056190948</v>
      </c>
      <c r="K8" s="49">
        <f t="shared" si="1"/>
        <v>530.71979114868225</v>
      </c>
      <c r="L8" s="56">
        <f t="shared" si="1"/>
        <v>558.65241173545496</v>
      </c>
      <c r="M8" s="49">
        <f t="shared" si="1"/>
        <v>586.58503232222779</v>
      </c>
      <c r="N8" s="49">
        <f t="shared" si="1"/>
        <v>614.5176529090005</v>
      </c>
      <c r="O8" s="49">
        <f t="shared" si="1"/>
        <v>625.69070114370959</v>
      </c>
      <c r="P8" s="49">
        <f t="shared" si="1"/>
        <v>636.86374937841867</v>
      </c>
      <c r="Q8" s="50">
        <f t="shared" si="1"/>
        <v>648.03679761312776</v>
      </c>
      <c r="R8" s="49">
        <f t="shared" si="1"/>
        <v>659.20984584783696</v>
      </c>
      <c r="S8" s="56">
        <f t="shared" si="1"/>
        <v>670.38289408254604</v>
      </c>
      <c r="T8" s="208"/>
    </row>
    <row r="9" spans="1:20" ht="15" x14ac:dyDescent="0.3">
      <c r="A9" s="7">
        <f t="shared" si="3"/>
        <v>6</v>
      </c>
      <c r="B9" s="8" t="s">
        <v>25</v>
      </c>
      <c r="C9" s="9">
        <v>2</v>
      </c>
      <c r="D9" s="9">
        <v>2.5449999999999999</v>
      </c>
      <c r="E9" s="10">
        <f t="shared" ref="E9:E19" si="5">E$2 / D9 * (1 - $K$25)</f>
        <v>87.403968565815333</v>
      </c>
      <c r="F9" s="51">
        <f t="shared" si="2"/>
        <v>611.82777996070729</v>
      </c>
      <c r="G9" s="51">
        <f t="shared" si="0"/>
        <v>655.52976424361498</v>
      </c>
      <c r="H9" s="51">
        <f t="shared" si="0"/>
        <v>699.23174852652267</v>
      </c>
      <c r="I9" s="51">
        <f t="shared" si="0"/>
        <v>742.93373280943035</v>
      </c>
      <c r="J9" s="51">
        <f t="shared" si="0"/>
        <v>786.63571709233804</v>
      </c>
      <c r="K9" s="51">
        <f t="shared" si="0"/>
        <v>830.33770137524562</v>
      </c>
      <c r="L9" s="56">
        <f t="shared" si="0"/>
        <v>874.0396856581533</v>
      </c>
      <c r="M9" s="51">
        <f t="shared" si="0"/>
        <v>917.74166994106099</v>
      </c>
      <c r="N9" s="51">
        <f t="shared" si="0"/>
        <v>961.44365422396868</v>
      </c>
      <c r="O9" s="51">
        <f t="shared" si="0"/>
        <v>978.92444793713162</v>
      </c>
      <c r="P9" s="51">
        <f t="shared" si="0"/>
        <v>996.40524165029478</v>
      </c>
      <c r="Q9" s="52">
        <f t="shared" si="0"/>
        <v>1013.8860353634578</v>
      </c>
      <c r="R9" s="51">
        <f t="shared" si="0"/>
        <v>1031.3668290766209</v>
      </c>
      <c r="S9" s="56">
        <f t="shared" si="0"/>
        <v>1048.8476227897841</v>
      </c>
      <c r="T9" s="3"/>
    </row>
    <row r="10" spans="1:20" ht="15" x14ac:dyDescent="0.3">
      <c r="A10" s="7">
        <f t="shared" si="3"/>
        <v>7</v>
      </c>
      <c r="B10" s="8" t="s">
        <v>24</v>
      </c>
      <c r="C10" s="9">
        <v>2.4700000000000002</v>
      </c>
      <c r="D10" s="9">
        <v>3.1419999999999999</v>
      </c>
      <c r="E10" s="10">
        <f t="shared" si="5"/>
        <v>70.796658179503495</v>
      </c>
      <c r="F10" s="51">
        <f t="shared" si="2"/>
        <v>495.57660725652448</v>
      </c>
      <c r="G10" s="51">
        <f t="shared" si="0"/>
        <v>530.97493634627619</v>
      </c>
      <c r="H10" s="51">
        <f t="shared" si="0"/>
        <v>566.37326543602796</v>
      </c>
      <c r="I10" s="51">
        <f t="shared" si="0"/>
        <v>601.77159452577973</v>
      </c>
      <c r="J10" s="51">
        <f t="shared" si="0"/>
        <v>637.1699236155315</v>
      </c>
      <c r="K10" s="51">
        <f t="shared" si="0"/>
        <v>672.56825270528316</v>
      </c>
      <c r="L10" s="56">
        <f t="shared" si="0"/>
        <v>707.96658179503493</v>
      </c>
      <c r="M10" s="51">
        <f t="shared" si="0"/>
        <v>743.3649108847867</v>
      </c>
      <c r="N10" s="51">
        <f t="shared" si="0"/>
        <v>778.76323997453846</v>
      </c>
      <c r="O10" s="51">
        <f t="shared" si="0"/>
        <v>792.92257161043915</v>
      </c>
      <c r="P10" s="51">
        <f t="shared" si="0"/>
        <v>807.08190324633983</v>
      </c>
      <c r="Q10" s="52">
        <f t="shared" si="0"/>
        <v>821.24123488224052</v>
      </c>
      <c r="R10" s="51">
        <f t="shared" si="0"/>
        <v>835.40056651814132</v>
      </c>
      <c r="S10" s="56">
        <f t="shared" si="0"/>
        <v>849.559898154042</v>
      </c>
      <c r="T10" s="3"/>
    </row>
    <row r="11" spans="1:20" ht="15" x14ac:dyDescent="0.3">
      <c r="A11" s="7">
        <f t="shared" si="3"/>
        <v>8</v>
      </c>
      <c r="B11" s="8" t="s">
        <v>23</v>
      </c>
      <c r="C11" s="9">
        <v>2.98</v>
      </c>
      <c r="D11" s="9">
        <v>3.8010000000000002</v>
      </c>
      <c r="E11" s="10">
        <f t="shared" si="5"/>
        <v>58.522257300710336</v>
      </c>
      <c r="F11" s="51">
        <f t="shared" si="2"/>
        <v>409.65580110497234</v>
      </c>
      <c r="G11" s="51">
        <f t="shared" si="0"/>
        <v>438.91692975532754</v>
      </c>
      <c r="H11" s="51">
        <f t="shared" si="0"/>
        <v>468.17805840568269</v>
      </c>
      <c r="I11" s="51">
        <f t="shared" si="0"/>
        <v>497.43918705603784</v>
      </c>
      <c r="J11" s="51">
        <f t="shared" si="0"/>
        <v>526.70031570639298</v>
      </c>
      <c r="K11" s="51">
        <f t="shared" si="0"/>
        <v>555.96144435674819</v>
      </c>
      <c r="L11" s="56">
        <f t="shared" si="0"/>
        <v>585.22257300710339</v>
      </c>
      <c r="M11" s="51">
        <f t="shared" si="0"/>
        <v>614.48370165745848</v>
      </c>
      <c r="N11" s="51">
        <f t="shared" si="0"/>
        <v>643.74483030781369</v>
      </c>
      <c r="O11" s="51">
        <f t="shared" si="0"/>
        <v>655.44928176795577</v>
      </c>
      <c r="P11" s="51">
        <f t="shared" si="0"/>
        <v>667.15373322809785</v>
      </c>
      <c r="Q11" s="52">
        <f t="shared" si="0"/>
        <v>678.85818468823993</v>
      </c>
      <c r="R11" s="51">
        <f t="shared" si="0"/>
        <v>690.56263614838201</v>
      </c>
      <c r="S11" s="56">
        <f t="shared" si="0"/>
        <v>702.26708760852398</v>
      </c>
      <c r="T11" s="3"/>
    </row>
    <row r="12" spans="1:20" ht="15" x14ac:dyDescent="0.3">
      <c r="A12" s="7">
        <f t="shared" si="3"/>
        <v>9</v>
      </c>
      <c r="B12" s="8" t="s">
        <v>22</v>
      </c>
      <c r="C12" s="9">
        <v>3.55</v>
      </c>
      <c r="D12" s="9">
        <v>4.524</v>
      </c>
      <c r="E12" s="10">
        <f t="shared" si="5"/>
        <v>49.169562334217503</v>
      </c>
      <c r="F12" s="51">
        <f t="shared" si="2"/>
        <v>344.1869363395225</v>
      </c>
      <c r="G12" s="51">
        <f t="shared" si="0"/>
        <v>368.77171750663126</v>
      </c>
      <c r="H12" s="51">
        <f t="shared" si="0"/>
        <v>393.35649867374002</v>
      </c>
      <c r="I12" s="51">
        <f t="shared" si="0"/>
        <v>417.94127984084878</v>
      </c>
      <c r="J12" s="51">
        <f t="shared" si="0"/>
        <v>442.52606100795754</v>
      </c>
      <c r="K12" s="51">
        <f t="shared" si="0"/>
        <v>467.1108421750663</v>
      </c>
      <c r="L12" s="56">
        <f t="shared" si="0"/>
        <v>491.69562334217505</v>
      </c>
      <c r="M12" s="51">
        <f t="shared" si="0"/>
        <v>516.28040450928381</v>
      </c>
      <c r="N12" s="51">
        <f t="shared" si="0"/>
        <v>540.86518567639257</v>
      </c>
      <c r="O12" s="51">
        <f t="shared" si="0"/>
        <v>550.69909814323603</v>
      </c>
      <c r="P12" s="51">
        <f t="shared" si="0"/>
        <v>560.5330106100796</v>
      </c>
      <c r="Q12" s="52">
        <f t="shared" si="0"/>
        <v>570.36692307692306</v>
      </c>
      <c r="R12" s="51">
        <f t="shared" si="0"/>
        <v>580.20083554376652</v>
      </c>
      <c r="S12" s="56">
        <f t="shared" si="0"/>
        <v>590.03474801060997</v>
      </c>
      <c r="T12" s="3"/>
    </row>
    <row r="13" spans="1:20" ht="15" x14ac:dyDescent="0.3">
      <c r="A13" s="7">
        <f t="shared" si="3"/>
        <v>10</v>
      </c>
      <c r="B13" s="8" t="s">
        <v>21</v>
      </c>
      <c r="C13" s="9">
        <v>3.85</v>
      </c>
      <c r="D13" s="9">
        <v>4.9089999999999998</v>
      </c>
      <c r="E13" s="10">
        <f t="shared" si="5"/>
        <v>45.313322468934608</v>
      </c>
      <c r="F13" s="51">
        <f t="shared" si="2"/>
        <v>317.19325728254228</v>
      </c>
      <c r="G13" s="51">
        <f t="shared" si="0"/>
        <v>339.84991851700954</v>
      </c>
      <c r="H13" s="51">
        <f t="shared" si="0"/>
        <v>362.50657975147686</v>
      </c>
      <c r="I13" s="51">
        <f t="shared" si="0"/>
        <v>385.16324098594419</v>
      </c>
      <c r="J13" s="51">
        <f t="shared" si="0"/>
        <v>407.81990222041145</v>
      </c>
      <c r="K13" s="51">
        <f t="shared" si="0"/>
        <v>430.47656345487877</v>
      </c>
      <c r="L13" s="56">
        <f t="shared" si="0"/>
        <v>453.13322468934609</v>
      </c>
      <c r="M13" s="51">
        <f t="shared" si="0"/>
        <v>475.78988592381336</v>
      </c>
      <c r="N13" s="51">
        <f t="shared" si="0"/>
        <v>498.44654715828068</v>
      </c>
      <c r="O13" s="51">
        <f t="shared" si="0"/>
        <v>507.50921165206756</v>
      </c>
      <c r="P13" s="51">
        <f t="shared" si="0"/>
        <v>516.5718761458545</v>
      </c>
      <c r="Q13" s="52">
        <f t="shared" si="0"/>
        <v>525.63454063964139</v>
      </c>
      <c r="R13" s="51">
        <f t="shared" si="0"/>
        <v>534.69720513342838</v>
      </c>
      <c r="S13" s="56">
        <f t="shared" si="0"/>
        <v>543.75986962721527</v>
      </c>
      <c r="T13" s="3"/>
    </row>
    <row r="14" spans="1:20" ht="15" x14ac:dyDescent="0.3">
      <c r="A14" s="7">
        <f t="shared" si="3"/>
        <v>11</v>
      </c>
      <c r="B14" s="8" t="s">
        <v>20</v>
      </c>
      <c r="C14" s="9">
        <v>4.83</v>
      </c>
      <c r="D14" s="9">
        <v>6.1580000000000004</v>
      </c>
      <c r="E14" s="10">
        <f t="shared" si="5"/>
        <v>36.122620980837929</v>
      </c>
      <c r="F14" s="51">
        <f t="shared" si="2"/>
        <v>252.85834686586551</v>
      </c>
      <c r="G14" s="51">
        <f t="shared" si="0"/>
        <v>270.91965735628446</v>
      </c>
      <c r="H14" s="51">
        <f t="shared" si="0"/>
        <v>288.98096784670344</v>
      </c>
      <c r="I14" s="51">
        <f t="shared" si="0"/>
        <v>307.04227833712241</v>
      </c>
      <c r="J14" s="51">
        <f t="shared" si="0"/>
        <v>325.10358882754139</v>
      </c>
      <c r="K14" s="51">
        <f t="shared" si="0"/>
        <v>343.16489931796031</v>
      </c>
      <c r="L14" s="56">
        <f t="shared" si="0"/>
        <v>361.22620980837928</v>
      </c>
      <c r="M14" s="51">
        <f t="shared" si="0"/>
        <v>379.28752029879826</v>
      </c>
      <c r="N14" s="51">
        <f t="shared" si="0"/>
        <v>397.34883078921723</v>
      </c>
      <c r="O14" s="51">
        <f t="shared" si="0"/>
        <v>404.57335498538481</v>
      </c>
      <c r="P14" s="51">
        <f t="shared" si="0"/>
        <v>411.79787918155239</v>
      </c>
      <c r="Q14" s="52">
        <f t="shared" si="0"/>
        <v>419.02240337771997</v>
      </c>
      <c r="R14" s="51">
        <f t="shared" si="0"/>
        <v>426.2469275738876</v>
      </c>
      <c r="S14" s="56">
        <f t="shared" si="0"/>
        <v>433.47145177005518</v>
      </c>
      <c r="T14" s="3"/>
    </row>
    <row r="15" spans="1:20" ht="15" x14ac:dyDescent="0.3">
      <c r="A15" s="7">
        <f t="shared" si="3"/>
        <v>12</v>
      </c>
      <c r="B15" s="8" t="s">
        <v>19</v>
      </c>
      <c r="C15" s="9">
        <v>5.55</v>
      </c>
      <c r="D15" s="9">
        <v>7.069</v>
      </c>
      <c r="E15" s="10">
        <f t="shared" si="5"/>
        <v>31.467406988258592</v>
      </c>
      <c r="F15" s="51">
        <f t="shared" si="2"/>
        <v>220.27184891781013</v>
      </c>
      <c r="G15" s="51">
        <f t="shared" si="0"/>
        <v>236.00555241193945</v>
      </c>
      <c r="H15" s="51">
        <f t="shared" si="0"/>
        <v>251.73925590606873</v>
      </c>
      <c r="I15" s="51">
        <f t="shared" si="0"/>
        <v>267.47295940019802</v>
      </c>
      <c r="J15" s="51">
        <f t="shared" si="0"/>
        <v>283.20666289432734</v>
      </c>
      <c r="K15" s="51">
        <f t="shared" si="0"/>
        <v>298.9403663884566</v>
      </c>
      <c r="L15" s="56">
        <f t="shared" si="0"/>
        <v>314.67406988258591</v>
      </c>
      <c r="M15" s="51">
        <f t="shared" si="0"/>
        <v>330.40777337671523</v>
      </c>
      <c r="N15" s="51">
        <f t="shared" si="0"/>
        <v>346.14147687084449</v>
      </c>
      <c r="O15" s="51">
        <f t="shared" si="0"/>
        <v>352.43495826849619</v>
      </c>
      <c r="P15" s="51">
        <f t="shared" si="0"/>
        <v>358.72843966614795</v>
      </c>
      <c r="Q15" s="52">
        <f t="shared" si="0"/>
        <v>365.02192106379965</v>
      </c>
      <c r="R15" s="51">
        <f t="shared" si="0"/>
        <v>371.31540246145141</v>
      </c>
      <c r="S15" s="56">
        <f t="shared" si="0"/>
        <v>377.60888385910312</v>
      </c>
      <c r="T15" s="3"/>
    </row>
    <row r="16" spans="1:20" ht="15" x14ac:dyDescent="0.3">
      <c r="A16" s="7">
        <f t="shared" si="3"/>
        <v>13</v>
      </c>
      <c r="B16" s="8" t="s">
        <v>18</v>
      </c>
      <c r="C16" s="9">
        <v>6.31</v>
      </c>
      <c r="D16" s="9">
        <v>8.0419999999999998</v>
      </c>
      <c r="E16" s="10">
        <f t="shared" si="5"/>
        <v>27.6601715991047</v>
      </c>
      <c r="F16" s="51">
        <f t="shared" si="2"/>
        <v>193.6212011937329</v>
      </c>
      <c r="G16" s="51">
        <f t="shared" si="0"/>
        <v>207.45128699328524</v>
      </c>
      <c r="H16" s="51">
        <f t="shared" si="0"/>
        <v>221.2813727928376</v>
      </c>
      <c r="I16" s="51">
        <f t="shared" si="0"/>
        <v>235.11145859238997</v>
      </c>
      <c r="J16" s="51">
        <f t="shared" si="0"/>
        <v>248.9415443919423</v>
      </c>
      <c r="K16" s="51">
        <f t="shared" si="0"/>
        <v>262.77163019149464</v>
      </c>
      <c r="L16" s="56">
        <f t="shared" si="0"/>
        <v>276.601715991047</v>
      </c>
      <c r="M16" s="51">
        <f t="shared" si="0"/>
        <v>290.43180179059937</v>
      </c>
      <c r="N16" s="51">
        <f t="shared" si="0"/>
        <v>304.26188759015167</v>
      </c>
      <c r="O16" s="51">
        <f t="shared" si="0"/>
        <v>309.7939219099726</v>
      </c>
      <c r="P16" s="51">
        <f t="shared" si="0"/>
        <v>315.32595622979358</v>
      </c>
      <c r="Q16" s="52">
        <f t="shared" si="0"/>
        <v>320.8579905496145</v>
      </c>
      <c r="R16" s="51">
        <f t="shared" si="0"/>
        <v>326.39002486943548</v>
      </c>
      <c r="S16" s="56">
        <f t="shared" si="0"/>
        <v>331.9220591892564</v>
      </c>
      <c r="T16" s="3"/>
    </row>
    <row r="17" spans="1:20" ht="15" x14ac:dyDescent="0.3">
      <c r="A17" s="7">
        <f t="shared" si="3"/>
        <v>14</v>
      </c>
      <c r="B17" s="8" t="s">
        <v>11</v>
      </c>
      <c r="C17" s="9">
        <v>7.99</v>
      </c>
      <c r="D17" s="9">
        <v>10.18</v>
      </c>
      <c r="E17" s="10">
        <f t="shared" si="5"/>
        <v>21.850992141453833</v>
      </c>
      <c r="F17" s="51">
        <f t="shared" si="2"/>
        <v>152.95694499017682</v>
      </c>
      <c r="G17" s="51">
        <f t="shared" si="0"/>
        <v>163.88244106090374</v>
      </c>
      <c r="H17" s="51">
        <f t="shared" si="0"/>
        <v>174.80793713163067</v>
      </c>
      <c r="I17" s="51">
        <f t="shared" si="0"/>
        <v>185.73343320235759</v>
      </c>
      <c r="J17" s="51">
        <f t="shared" si="0"/>
        <v>196.65892927308451</v>
      </c>
      <c r="K17" s="51">
        <f t="shared" si="0"/>
        <v>207.5844253438114</v>
      </c>
      <c r="L17" s="56">
        <f t="shared" si="0"/>
        <v>218.50992141453833</v>
      </c>
      <c r="M17" s="51">
        <f t="shared" si="0"/>
        <v>229.43541748526525</v>
      </c>
      <c r="N17" s="51">
        <f t="shared" si="0"/>
        <v>240.36091355599217</v>
      </c>
      <c r="O17" s="51">
        <f t="shared" si="0"/>
        <v>244.7311119842829</v>
      </c>
      <c r="P17" s="51">
        <f t="shared" si="0"/>
        <v>249.1013104125737</v>
      </c>
      <c r="Q17" s="52">
        <f t="shared" si="0"/>
        <v>253.47150884086446</v>
      </c>
      <c r="R17" s="51">
        <f t="shared" si="0"/>
        <v>257.84170726915522</v>
      </c>
      <c r="S17" s="56">
        <f t="shared" si="0"/>
        <v>262.21190569744601</v>
      </c>
      <c r="T17" s="3"/>
    </row>
    <row r="18" spans="1:20" ht="15" x14ac:dyDescent="0.3">
      <c r="A18" s="7">
        <f t="shared" si="3"/>
        <v>15</v>
      </c>
      <c r="B18" s="8" t="s">
        <v>12</v>
      </c>
      <c r="C18" s="9">
        <v>9.86</v>
      </c>
      <c r="D18" s="9">
        <v>12.57</v>
      </c>
      <c r="E18" s="10">
        <f t="shared" si="5"/>
        <v>17.696348448687349</v>
      </c>
      <c r="F18" s="51">
        <f t="shared" si="2"/>
        <v>123.87443914081145</v>
      </c>
      <c r="G18" s="51">
        <f t="shared" si="0"/>
        <v>132.72261336515513</v>
      </c>
      <c r="H18" s="51">
        <f t="shared" si="0"/>
        <v>141.57078758949879</v>
      </c>
      <c r="I18" s="51">
        <f t="shared" si="0"/>
        <v>150.41896181384246</v>
      </c>
      <c r="J18" s="51">
        <f t="shared" si="0"/>
        <v>159.26713603818615</v>
      </c>
      <c r="K18" s="51">
        <f t="shared" si="0"/>
        <v>168.11531026252982</v>
      </c>
      <c r="L18" s="56">
        <f t="shared" si="0"/>
        <v>176.96348448687348</v>
      </c>
      <c r="M18" s="51">
        <f t="shared" si="0"/>
        <v>185.81165871121718</v>
      </c>
      <c r="N18" s="51">
        <f t="shared" si="0"/>
        <v>194.65983293556084</v>
      </c>
      <c r="O18" s="51">
        <f t="shared" si="0"/>
        <v>198.19910262529831</v>
      </c>
      <c r="P18" s="51">
        <f t="shared" si="0"/>
        <v>201.73837231503578</v>
      </c>
      <c r="Q18" s="52">
        <f t="shared" si="0"/>
        <v>205.27764200477324</v>
      </c>
      <c r="R18" s="51">
        <f t="shared" si="0"/>
        <v>208.81691169451074</v>
      </c>
      <c r="S18" s="56">
        <f t="shared" si="0"/>
        <v>212.3561813842482</v>
      </c>
      <c r="T18" s="3"/>
    </row>
    <row r="19" spans="1:20" ht="15" x14ac:dyDescent="0.3">
      <c r="A19" s="7">
        <f t="shared" si="3"/>
        <v>16</v>
      </c>
      <c r="B19" s="8" t="s">
        <v>17</v>
      </c>
      <c r="C19" s="9">
        <v>10.88</v>
      </c>
      <c r="D19" s="9">
        <v>13.85</v>
      </c>
      <c r="E19" s="10">
        <f t="shared" si="5"/>
        <v>16.060873646209387</v>
      </c>
      <c r="F19" s="51">
        <f t="shared" si="2"/>
        <v>112.42611552346571</v>
      </c>
      <c r="G19" s="51">
        <f t="shared" si="0"/>
        <v>120.4565523465704</v>
      </c>
      <c r="H19" s="51">
        <f t="shared" si="0"/>
        <v>128.4869891696751</v>
      </c>
      <c r="I19" s="51">
        <f t="shared" si="0"/>
        <v>136.51742599277981</v>
      </c>
      <c r="J19" s="51">
        <f t="shared" si="0"/>
        <v>144.54786281588449</v>
      </c>
      <c r="K19" s="51">
        <f t="shared" si="0"/>
        <v>152.57829963898917</v>
      </c>
      <c r="L19" s="56">
        <f t="shared" si="0"/>
        <v>160.60873646209387</v>
      </c>
      <c r="M19" s="51">
        <f t="shared" si="0"/>
        <v>168.63917328519858</v>
      </c>
      <c r="N19" s="51">
        <f t="shared" si="0"/>
        <v>176.66961010830326</v>
      </c>
      <c r="O19" s="51">
        <f t="shared" si="0"/>
        <v>179.88178483754513</v>
      </c>
      <c r="P19" s="51">
        <f t="shared" si="0"/>
        <v>183.09395956678702</v>
      </c>
      <c r="Q19" s="52">
        <f t="shared" si="0"/>
        <v>186.30613429602889</v>
      </c>
      <c r="R19" s="51">
        <f t="shared" si="0"/>
        <v>189.51830902527078</v>
      </c>
      <c r="S19" s="56">
        <f t="shared" si="0"/>
        <v>192.73048375451265</v>
      </c>
      <c r="T19" s="3"/>
    </row>
    <row r="21" spans="1:20" ht="21" x14ac:dyDescent="0.4">
      <c r="C21" s="11" t="s">
        <v>35</v>
      </c>
      <c r="D21" s="2" t="s">
        <v>6</v>
      </c>
      <c r="J21" t="s">
        <v>43</v>
      </c>
      <c r="K21" s="202" t="s">
        <v>66</v>
      </c>
      <c r="L21" s="2" t="s">
        <v>72</v>
      </c>
    </row>
    <row r="22" spans="1:20" ht="21" x14ac:dyDescent="0.4">
      <c r="C22" s="11" t="s">
        <v>36</v>
      </c>
      <c r="D22" s="2" t="s">
        <v>53</v>
      </c>
      <c r="J22" t="s">
        <v>43</v>
      </c>
      <c r="K22" s="144"/>
      <c r="L22" s="2" t="s">
        <v>73</v>
      </c>
    </row>
    <row r="23" spans="1:20" ht="21" x14ac:dyDescent="0.4">
      <c r="C23" s="11" t="s">
        <v>37</v>
      </c>
      <c r="D23" s="2" t="s">
        <v>38</v>
      </c>
      <c r="J23" t="s">
        <v>43</v>
      </c>
      <c r="K23" s="144" t="s">
        <v>67</v>
      </c>
      <c r="L23" s="2" t="s">
        <v>68</v>
      </c>
    </row>
    <row r="24" spans="1:20" ht="21" x14ac:dyDescent="0.4">
      <c r="C24" s="11" t="s">
        <v>39</v>
      </c>
      <c r="D24" s="2" t="s">
        <v>55</v>
      </c>
      <c r="J24" t="s">
        <v>43</v>
      </c>
      <c r="L24" s="144"/>
    </row>
    <row r="25" spans="1:20" ht="21" x14ac:dyDescent="0.4">
      <c r="C25" s="11" t="s">
        <v>41</v>
      </c>
      <c r="D25" s="2" t="s">
        <v>56</v>
      </c>
      <c r="J25" t="s">
        <v>43</v>
      </c>
      <c r="K25" s="204">
        <v>0.01</v>
      </c>
      <c r="L25" s="209" t="s">
        <v>74</v>
      </c>
      <c r="M25" s="209"/>
      <c r="N25" s="209"/>
      <c r="O25" s="209"/>
      <c r="P25" s="209"/>
      <c r="Q25" s="209"/>
      <c r="R25" s="209"/>
    </row>
    <row r="26" spans="1:20" ht="21" x14ac:dyDescent="0.4">
      <c r="C26" s="11" t="s">
        <v>5</v>
      </c>
      <c r="D26" s="2" t="s">
        <v>58</v>
      </c>
      <c r="J26" t="s">
        <v>40</v>
      </c>
      <c r="L26" s="144"/>
    </row>
    <row r="27" spans="1:20" ht="21" x14ac:dyDescent="0.4">
      <c r="C27" s="11" t="s">
        <v>7</v>
      </c>
      <c r="D27" s="2" t="s">
        <v>57</v>
      </c>
      <c r="J27" t="s">
        <v>40</v>
      </c>
      <c r="L27" s="144"/>
    </row>
    <row r="28" spans="1:20" ht="21" x14ac:dyDescent="0.4">
      <c r="C28" s="11" t="s">
        <v>3</v>
      </c>
      <c r="D28" s="2" t="s">
        <v>8</v>
      </c>
      <c r="J28" t="s">
        <v>40</v>
      </c>
      <c r="L28" s="144"/>
    </row>
    <row r="29" spans="1:20" ht="21" x14ac:dyDescent="0.4">
      <c r="A29" s="1"/>
      <c r="B29" s="2"/>
      <c r="C29" s="11" t="s">
        <v>9</v>
      </c>
      <c r="D29" s="2" t="s">
        <v>29</v>
      </c>
      <c r="J29" t="s">
        <v>42</v>
      </c>
      <c r="L29" s="144"/>
    </row>
    <row r="30" spans="1:20" ht="18" x14ac:dyDescent="0.35">
      <c r="A30" s="1"/>
    </row>
    <row r="31" spans="1:20" ht="18" x14ac:dyDescent="0.35">
      <c r="A31" s="1"/>
    </row>
  </sheetData>
  <mergeCells count="3">
    <mergeCell ref="A2:D2"/>
    <mergeCell ref="T5:T8"/>
    <mergeCell ref="L25:R25"/>
  </mergeCells>
  <pageMargins left="0.23622047244094491" right="0.23622047244094491" top="1.1417322834645669" bottom="0.35433070866141736" header="0.31496062992125984" footer="0.31496062992125984"/>
  <pageSetup paperSize="8" scale="11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A1:AI153"/>
  <sheetViews>
    <sheetView tabSelected="1" zoomScaleNormal="100" workbookViewId="0">
      <selection activeCell="V10" sqref="V10"/>
    </sheetView>
  </sheetViews>
  <sheetFormatPr defaultColWidth="8.88671875" defaultRowHeight="15.6" x14ac:dyDescent="0.3"/>
  <cols>
    <col min="1" max="5" width="8.88671875" style="12"/>
    <col min="6" max="6" width="7.6640625" style="12" customWidth="1"/>
    <col min="7" max="20" width="6.77734375" style="12" customWidth="1"/>
    <col min="21" max="21" width="2.6640625" style="12" customWidth="1"/>
    <col min="22" max="22" width="5.77734375" style="102" customWidth="1"/>
    <col min="23" max="23" width="8.33203125" style="12" customWidth="1"/>
    <col min="24" max="25" width="5.77734375" style="135" customWidth="1"/>
    <col min="26" max="27" width="5.77734375" style="39" customWidth="1"/>
    <col min="28" max="31" width="5.77734375" style="135" customWidth="1"/>
    <col min="32" max="32" width="5.7773437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3"/>
      <c r="P7" s="153"/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2"/>
      <c r="P8" s="93"/>
      <c r="Q8" s="93"/>
      <c r="R8" s="93"/>
      <c r="S8" s="93"/>
      <c r="T8" s="93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210">
        <v>9</v>
      </c>
      <c r="O9" s="210">
        <v>10</v>
      </c>
      <c r="P9" s="210">
        <v>11</v>
      </c>
      <c r="Q9" s="210">
        <v>12</v>
      </c>
      <c r="R9" s="210">
        <v>13</v>
      </c>
      <c r="S9" s="210">
        <v>14</v>
      </c>
      <c r="T9" s="210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211"/>
      <c r="O10" s="211"/>
      <c r="P10" s="211"/>
      <c r="Q10" s="211"/>
      <c r="R10" s="211"/>
      <c r="S10" s="211"/>
      <c r="T10" s="211"/>
      <c r="U10" s="104"/>
      <c r="V10" s="20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13">
        <f>Лист1!F$5</f>
        <v>991.27941176470586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-9.2868693162427018E-2</v>
      </c>
      <c r="D11" s="15">
        <f>C11-E11</f>
        <v>-9.2868693162427018E-2</v>
      </c>
      <c r="E11" s="32">
        <f>IF(D12 &gt; $D$10,D12/$B11*100,0)</f>
        <v>0</v>
      </c>
      <c r="F11" s="78">
        <v>122</v>
      </c>
      <c r="G11" s="79">
        <v>122</v>
      </c>
      <c r="H11" s="79">
        <v>122</v>
      </c>
      <c r="I11" s="79">
        <v>109.9</v>
      </c>
      <c r="J11" s="79">
        <v>109.9</v>
      </c>
      <c r="K11" s="79">
        <v>109.9</v>
      </c>
      <c r="L11" s="79">
        <v>109.9</v>
      </c>
      <c r="M11" s="79">
        <v>109.9</v>
      </c>
      <c r="N11" s="179">
        <v>85.792358398437614</v>
      </c>
      <c r="O11" s="179"/>
      <c r="P11" s="179"/>
      <c r="Q11" s="179"/>
      <c r="R11" s="179"/>
      <c r="S11" s="179"/>
      <c r="T11" s="180"/>
      <c r="U11" s="104"/>
      <c r="W11" s="17">
        <f>SUM(F11:T11)</f>
        <v>1001.2923583984375</v>
      </c>
      <c r="X11" s="96">
        <v>82</v>
      </c>
      <c r="Y11" s="96">
        <v>8</v>
      </c>
      <c r="Z11" s="39">
        <v>25.2923583984375</v>
      </c>
      <c r="AA11" s="97">
        <v>29.7076416015625</v>
      </c>
      <c r="AB11" s="135">
        <v>3</v>
      </c>
      <c r="AC11" s="135">
        <v>5</v>
      </c>
      <c r="AD11" s="135">
        <v>1</v>
      </c>
      <c r="AE11" s="135">
        <v>5</v>
      </c>
      <c r="AF11" s="39">
        <v>24.2</v>
      </c>
    </row>
    <row r="12" spans="1:35" ht="16.95" hidden="1" x14ac:dyDescent="0.3">
      <c r="A12" s="58"/>
      <c r="B12" s="165"/>
      <c r="C12" s="19">
        <f>$C$8*
(SIGN($F11)+SIGN($G11)+SIGN($H11)+SIGN($I11)
+SIGN($J11)+SIGN($K11)+SIGN($L11)+SIGN($M11)
+SIGN($N11)+SIGN($O11)+SIGN($P11)+SIGN($Q11)
+SIGN($R11)+SIGN($S11)+SIGN($T11)+SIGN($V10))</f>
        <v>10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-10.920588235294076</v>
      </c>
      <c r="E12" s="129">
        <f>B11</f>
        <v>991.27941176470586</v>
      </c>
      <c r="F12" s="78"/>
      <c r="G12" s="79"/>
      <c r="H12" s="79"/>
      <c r="I12" s="79"/>
      <c r="J12" s="79"/>
      <c r="K12" s="79"/>
      <c r="L12" s="79"/>
      <c r="M12" s="79"/>
      <c r="N12" s="181"/>
      <c r="O12" s="181"/>
      <c r="P12" s="181"/>
      <c r="Q12" s="181"/>
      <c r="R12" s="181"/>
      <c r="S12" s="181"/>
      <c r="T12" s="182"/>
      <c r="U12" s="104"/>
      <c r="V12" s="41"/>
      <c r="W12" s="17"/>
      <c r="X12" s="96"/>
      <c r="Y12" s="96"/>
      <c r="AA12" s="97"/>
    </row>
    <row r="13" spans="1:35" ht="16.95" hidden="1" x14ac:dyDescent="0.3">
      <c r="A13" s="58"/>
      <c r="B13" s="165"/>
      <c r="C13" s="23"/>
      <c r="D13" s="24"/>
      <c r="E13" s="24">
        <f>IF(B11&gt;0,(B11/ROUNDUP(ROUNDUP(((B11-($C$8*ROUNDUP(B11/$H$8,0)))/$C$7),0)/$H$7,0)-$C$8)/$C$7,0-$C$8/$C$7)</f>
        <v>9.0200129638632323</v>
      </c>
      <c r="F13" s="78"/>
      <c r="G13" s="79"/>
      <c r="H13" s="79"/>
      <c r="I13" s="79"/>
      <c r="J13" s="79"/>
      <c r="K13" s="79"/>
      <c r="L13" s="79"/>
      <c r="M13" s="79"/>
      <c r="N13" s="181"/>
      <c r="O13" s="181"/>
      <c r="P13" s="181"/>
      <c r="Q13" s="181"/>
      <c r="R13" s="181"/>
      <c r="S13" s="181"/>
      <c r="T13" s="182"/>
      <c r="U13" s="104"/>
      <c r="V13" s="41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13">
        <f>Лист1!G$5</f>
        <v>1062.0850840336134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0.88364709896597282</v>
      </c>
      <c r="D14" s="15">
        <f>C14-E14</f>
        <v>0.88364709896597282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122</v>
      </c>
      <c r="I14" s="79">
        <v>122</v>
      </c>
      <c r="J14" s="79">
        <v>122</v>
      </c>
      <c r="K14" s="79">
        <v>122</v>
      </c>
      <c r="L14" s="79">
        <v>122</v>
      </c>
      <c r="M14" s="79">
        <v>122</v>
      </c>
      <c r="N14" s="181">
        <v>96.813232421875</v>
      </c>
      <c r="O14" s="181"/>
      <c r="P14" s="181"/>
      <c r="Q14" s="181"/>
      <c r="R14" s="181"/>
      <c r="S14" s="181"/>
      <c r="T14" s="182"/>
      <c r="U14" s="104"/>
      <c r="V14" s="41"/>
      <c r="W14" s="17">
        <f>SUM(F14:T14)</f>
        <v>1072.813232421875</v>
      </c>
      <c r="X14" s="96">
        <v>88</v>
      </c>
      <c r="Y14" s="96">
        <v>8</v>
      </c>
      <c r="Z14" s="39">
        <v>96.813232421875</v>
      </c>
      <c r="AA14" s="97"/>
    </row>
    <row r="15" spans="1:35" ht="16.9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9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0.38508403361333876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81"/>
      <c r="O15" s="181"/>
      <c r="P15" s="181"/>
      <c r="Q15" s="181"/>
      <c r="R15" s="181"/>
      <c r="S15" s="181"/>
      <c r="T15" s="182"/>
      <c r="U15" s="104"/>
      <c r="V15" s="41"/>
      <c r="W15" s="17"/>
      <c r="X15" s="96"/>
      <c r="Y15" s="96"/>
      <c r="AA15" s="97"/>
    </row>
    <row r="16" spans="1:35" ht="16.9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81"/>
      <c r="O16" s="181"/>
      <c r="P16" s="181"/>
      <c r="Q16" s="181"/>
      <c r="R16" s="181"/>
      <c r="S16" s="181"/>
      <c r="T16" s="182"/>
      <c r="U16" s="104"/>
      <c r="V16" s="41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13">
        <f>Лист1!H$5</f>
        <v>1132.8907563025209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0.67003426943788791</v>
      </c>
      <c r="D17" s="15">
        <f>C17-E17</f>
        <v>0.67003426943788791</v>
      </c>
      <c r="E17" s="32">
        <f t="shared" si="2"/>
        <v>0</v>
      </c>
      <c r="F17" s="78">
        <v>122</v>
      </c>
      <c r="G17" s="79">
        <v>122</v>
      </c>
      <c r="H17" s="79">
        <v>122</v>
      </c>
      <c r="I17" s="79">
        <v>122</v>
      </c>
      <c r="J17" s="79">
        <v>122</v>
      </c>
      <c r="K17" s="79">
        <v>109.9</v>
      </c>
      <c r="L17" s="79">
        <v>109.9</v>
      </c>
      <c r="M17" s="79">
        <v>109.9</v>
      </c>
      <c r="N17" s="181">
        <v>109.9</v>
      </c>
      <c r="O17" s="181">
        <v>94.734106445312591</v>
      </c>
      <c r="P17" s="181"/>
      <c r="Q17" s="181"/>
      <c r="R17" s="181"/>
      <c r="S17" s="181"/>
      <c r="T17" s="182"/>
      <c r="U17" s="104"/>
      <c r="V17" s="41"/>
      <c r="W17" s="17">
        <f>SUM(F17:T17)</f>
        <v>1144.3341064453125</v>
      </c>
      <c r="X17" s="96">
        <v>94</v>
      </c>
      <c r="Y17" s="96">
        <v>9</v>
      </c>
      <c r="Z17" s="39">
        <v>46.3341064453125</v>
      </c>
      <c r="AA17" s="97">
        <v>8.6658935546875</v>
      </c>
      <c r="AB17" s="135">
        <v>1</v>
      </c>
      <c r="AC17" s="135">
        <v>5</v>
      </c>
      <c r="AD17" s="135">
        <v>1</v>
      </c>
      <c r="AE17" s="135">
        <v>4</v>
      </c>
      <c r="AF17" s="39">
        <v>36.299999999999997</v>
      </c>
    </row>
    <row r="18" spans="1:32" s="12" customFormat="1" ht="16.9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10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-2.4092436974790417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81"/>
      <c r="O18" s="181"/>
      <c r="P18" s="181"/>
      <c r="Q18" s="181"/>
      <c r="R18" s="181"/>
      <c r="S18" s="181"/>
      <c r="T18" s="182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81"/>
      <c r="O19" s="181"/>
      <c r="P19" s="181"/>
      <c r="Q19" s="181"/>
      <c r="R19" s="181"/>
      <c r="S19" s="181"/>
      <c r="T19" s="182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13">
        <f>Лист1!I$5</f>
        <v>1203.6964285714284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0.48155236103075411</v>
      </c>
      <c r="D20" s="15">
        <f>C20-E20</f>
        <v>0.48155236103075411</v>
      </c>
      <c r="E20" s="32">
        <f t="shared" si="2"/>
        <v>0</v>
      </c>
      <c r="F20" s="78">
        <v>122</v>
      </c>
      <c r="G20" s="79">
        <v>122</v>
      </c>
      <c r="H20" s="79">
        <v>122</v>
      </c>
      <c r="I20" s="79">
        <v>122</v>
      </c>
      <c r="J20" s="79">
        <v>122</v>
      </c>
      <c r="K20" s="79">
        <v>122</v>
      </c>
      <c r="L20" s="79">
        <v>122</v>
      </c>
      <c r="M20" s="79">
        <v>122</v>
      </c>
      <c r="N20" s="181">
        <v>122</v>
      </c>
      <c r="O20" s="181">
        <v>117.85498046875</v>
      </c>
      <c r="P20" s="181"/>
      <c r="Q20" s="181"/>
      <c r="R20" s="181"/>
      <c r="S20" s="181"/>
      <c r="T20" s="182"/>
      <c r="U20" s="104"/>
      <c r="V20" s="41"/>
      <c r="W20" s="17">
        <f>SUM(F20:T20)</f>
        <v>1215.85498046875</v>
      </c>
      <c r="X20" s="96">
        <v>100</v>
      </c>
      <c r="Y20" s="96">
        <v>9</v>
      </c>
      <c r="Z20" s="39">
        <v>117.85498046875</v>
      </c>
      <c r="AA20" s="97"/>
      <c r="AB20" s="135"/>
      <c r="AC20" s="135"/>
      <c r="AD20" s="135"/>
      <c r="AE20" s="135"/>
      <c r="AF20" s="39"/>
    </row>
    <row r="21" spans="1:32" s="12" customFormat="1" ht="16.95" hidden="1" x14ac:dyDescent="0.3">
      <c r="A21" s="58"/>
      <c r="B21" s="164"/>
      <c r="C21" s="19">
        <f>$C$8*
(SIGN($F20)+SIGN($G20)+SIGN($H20)+SIGN($I20)
+SIGN($J20)+SIGN($K20)+SIGN($L20)+SIGN($M20)
+SIGN($N20)+SIGN($O20)+SIGN($P20)+SIGN($Q20)
+SIGN($R20)+SIGN($S20)+SIGN($T20)+SIGN($V20))</f>
        <v>10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-4.2035714285714221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81"/>
      <c r="O21" s="181"/>
      <c r="P21" s="181"/>
      <c r="Q21" s="181"/>
      <c r="R21" s="181"/>
      <c r="S21" s="181"/>
      <c r="T21" s="182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164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81"/>
      <c r="O22" s="181"/>
      <c r="P22" s="181"/>
      <c r="Q22" s="181"/>
      <c r="R22" s="181"/>
      <c r="S22" s="181"/>
      <c r="T22" s="182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13">
        <f>Лист1!J$5</f>
        <v>1274.502100840336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0.31401288689106177</v>
      </c>
      <c r="D23" s="15">
        <f>C23-E23</f>
        <v>0.31401288689106177</v>
      </c>
      <c r="E23" s="32">
        <f t="shared" si="2"/>
        <v>0</v>
      </c>
      <c r="F23" s="78">
        <v>122</v>
      </c>
      <c r="G23" s="79">
        <v>122</v>
      </c>
      <c r="H23" s="79">
        <v>122</v>
      </c>
      <c r="I23" s="79">
        <v>122</v>
      </c>
      <c r="J23" s="79">
        <v>122</v>
      </c>
      <c r="K23" s="79">
        <v>122</v>
      </c>
      <c r="L23" s="79">
        <v>122</v>
      </c>
      <c r="M23" s="79">
        <v>122</v>
      </c>
      <c r="N23" s="141">
        <v>109.9</v>
      </c>
      <c r="O23" s="141">
        <v>109.9</v>
      </c>
      <c r="P23" s="141">
        <v>91.575854492187318</v>
      </c>
      <c r="Q23" s="141"/>
      <c r="R23" s="141"/>
      <c r="S23" s="141"/>
      <c r="T23" s="183"/>
      <c r="U23" s="102"/>
      <c r="V23" s="41"/>
      <c r="W23" s="17">
        <f>SUM(F23:T23)</f>
        <v>1287.3758544921875</v>
      </c>
      <c r="X23" s="96">
        <v>106</v>
      </c>
      <c r="Y23" s="96">
        <v>10</v>
      </c>
      <c r="Z23" s="39">
        <v>67.3758544921875</v>
      </c>
      <c r="AA23" s="141"/>
      <c r="AB23" s="135"/>
      <c r="AC23" s="135">
        <v>5</v>
      </c>
      <c r="AD23" s="135">
        <v>1</v>
      </c>
      <c r="AE23" s="135">
        <v>2</v>
      </c>
      <c r="AF23" s="39">
        <v>24.2</v>
      </c>
    </row>
    <row r="24" spans="1:32" s="12" customFormat="1" ht="16.9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11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-6.9978991596640299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41"/>
      <c r="O24" s="141"/>
      <c r="P24" s="141"/>
      <c r="Q24" s="141"/>
      <c r="R24" s="141"/>
      <c r="S24" s="141"/>
      <c r="T24" s="183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184"/>
      <c r="O25" s="184"/>
      <c r="P25" s="141"/>
      <c r="Q25" s="141"/>
      <c r="R25" s="141"/>
      <c r="S25" s="141"/>
      <c r="T25" s="183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13">
        <f>Лист1!K$5</f>
        <v>1345.3077731092435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0.16410914687135397</v>
      </c>
      <c r="D26" s="15">
        <f>C26-E26</f>
        <v>0.16410914687135397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109.9</v>
      </c>
      <c r="L26" s="79">
        <v>109.9</v>
      </c>
      <c r="M26" s="79">
        <v>109.9</v>
      </c>
      <c r="N26" s="141">
        <v>109.9</v>
      </c>
      <c r="O26" s="141">
        <v>109.9</v>
      </c>
      <c r="P26" s="141">
        <v>109.9</v>
      </c>
      <c r="Q26" s="141">
        <v>89.496728515624909</v>
      </c>
      <c r="R26" s="141"/>
      <c r="S26" s="141"/>
      <c r="T26" s="183"/>
      <c r="U26" s="102"/>
      <c r="V26" s="41"/>
      <c r="W26" s="17">
        <f>SUM(F26:T26)</f>
        <v>1358.896728515625</v>
      </c>
      <c r="X26" s="96">
        <v>112</v>
      </c>
      <c r="Y26" s="96">
        <v>11</v>
      </c>
      <c r="Z26" s="39">
        <v>16.896728515625</v>
      </c>
      <c r="AA26" s="141">
        <v>38.103271484375</v>
      </c>
      <c r="AB26" s="135">
        <v>4</v>
      </c>
      <c r="AC26" s="135">
        <v>5</v>
      </c>
      <c r="AD26" s="135">
        <v>2</v>
      </c>
      <c r="AE26" s="135">
        <v>6</v>
      </c>
      <c r="AF26" s="39">
        <v>24.2</v>
      </c>
    </row>
    <row r="27" spans="1:32" s="12" customFormat="1" ht="16.9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12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-9.7922268907564103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41"/>
      <c r="O27" s="141"/>
      <c r="P27" s="141"/>
      <c r="Q27" s="141"/>
      <c r="R27" s="141"/>
      <c r="S27" s="141"/>
      <c r="T27" s="183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184"/>
      <c r="O28" s="184"/>
      <c r="P28" s="141"/>
      <c r="Q28" s="141"/>
      <c r="R28" s="141"/>
      <c r="S28" s="141"/>
      <c r="T28" s="183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13">
        <f>Лист1!L$5</f>
        <v>1416.113445378151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2.9195780853600879E-2</v>
      </c>
      <c r="D29" s="15">
        <f>C29-E29</f>
        <v>2.9195780853600879E-2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122</v>
      </c>
      <c r="J29" s="79">
        <v>122</v>
      </c>
      <c r="K29" s="79">
        <v>122</v>
      </c>
      <c r="L29" s="79">
        <v>122</v>
      </c>
      <c r="M29" s="79">
        <v>122</v>
      </c>
      <c r="N29" s="141">
        <v>122</v>
      </c>
      <c r="O29" s="141">
        <v>122</v>
      </c>
      <c r="P29" s="141">
        <v>122</v>
      </c>
      <c r="Q29" s="141">
        <v>88.4176025390625</v>
      </c>
      <c r="R29" s="141"/>
      <c r="S29" s="141"/>
      <c r="T29" s="183"/>
      <c r="U29" s="102"/>
      <c r="V29" s="41"/>
      <c r="W29" s="17">
        <f>SUM(F29:T29)</f>
        <v>1430.4176025390625</v>
      </c>
      <c r="X29" s="140">
        <v>118</v>
      </c>
      <c r="Y29" s="140">
        <v>11</v>
      </c>
      <c r="Z29" s="39">
        <v>88.4176025390625</v>
      </c>
      <c r="AA29" s="39"/>
      <c r="AB29" s="135"/>
      <c r="AC29" s="135"/>
      <c r="AD29" s="135"/>
      <c r="AE29" s="135"/>
      <c r="AF29" s="39"/>
    </row>
    <row r="30" spans="1:32" s="12" customFormat="1" ht="18.899999999999999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12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-11.586554621849018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41"/>
      <c r="O30" s="141"/>
      <c r="P30" s="141"/>
      <c r="Q30" s="141"/>
      <c r="R30" s="141"/>
      <c r="S30" s="141"/>
      <c r="T30" s="183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184"/>
      <c r="O31" s="184"/>
      <c r="P31" s="141"/>
      <c r="Q31" s="141"/>
      <c r="R31" s="141"/>
      <c r="S31" s="141"/>
      <c r="T31" s="183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13">
        <f>Лист1!M$5</f>
        <v>1486.9191176470588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-9.2868693162430849E-2</v>
      </c>
      <c r="D32" s="15">
        <f>C32-E32</f>
        <v>-9.2868693162430849E-2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122</v>
      </c>
      <c r="M32" s="79">
        <v>122</v>
      </c>
      <c r="N32" s="141">
        <v>109.9</v>
      </c>
      <c r="O32" s="141">
        <v>109.9</v>
      </c>
      <c r="P32" s="141">
        <v>109.9</v>
      </c>
      <c r="Q32" s="141">
        <v>109.9</v>
      </c>
      <c r="R32" s="141">
        <v>86.338476562499636</v>
      </c>
      <c r="S32" s="141"/>
      <c r="T32" s="183"/>
      <c r="U32" s="102"/>
      <c r="V32" s="41"/>
      <c r="W32" s="17">
        <f>SUM(F32:T32)</f>
        <v>1501.9384765625</v>
      </c>
      <c r="X32" s="96">
        <v>124</v>
      </c>
      <c r="Y32" s="96">
        <v>12</v>
      </c>
      <c r="Z32" s="39">
        <v>37.9384765625</v>
      </c>
      <c r="AA32" s="39">
        <v>17.0615234375</v>
      </c>
      <c r="AB32" s="135">
        <v>2</v>
      </c>
      <c r="AC32" s="135">
        <v>5</v>
      </c>
      <c r="AD32" s="135">
        <v>1</v>
      </c>
      <c r="AE32" s="135">
        <v>4</v>
      </c>
      <c r="AF32" s="39">
        <v>24.2</v>
      </c>
    </row>
    <row r="33" spans="1:32" s="12" customFormat="1" ht="18.899999999999999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13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-14.380882352941171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41"/>
      <c r="O33" s="141"/>
      <c r="P33" s="141"/>
      <c r="Q33" s="141"/>
      <c r="R33" s="141"/>
      <c r="S33" s="141"/>
      <c r="T33" s="183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184"/>
      <c r="O34" s="184"/>
      <c r="P34" s="141"/>
      <c r="Q34" s="141"/>
      <c r="R34" s="141"/>
      <c r="S34" s="141"/>
      <c r="T34" s="183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13">
        <f>Лист1!N$5</f>
        <v>1557.7247899159663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0.57293752874330373</v>
      </c>
      <c r="D35" s="15">
        <f>C35-E35</f>
        <v>0.57293752874330373</v>
      </c>
      <c r="E35" s="32">
        <f t="shared" si="2"/>
        <v>0</v>
      </c>
      <c r="F35" s="78">
        <v>122</v>
      </c>
      <c r="G35" s="79">
        <v>122</v>
      </c>
      <c r="H35" s="79">
        <v>122</v>
      </c>
      <c r="I35" s="79">
        <v>122</v>
      </c>
      <c r="J35" s="79">
        <v>122</v>
      </c>
      <c r="K35" s="79">
        <v>122</v>
      </c>
      <c r="L35" s="79">
        <v>122</v>
      </c>
      <c r="M35" s="79">
        <v>122</v>
      </c>
      <c r="N35" s="141">
        <v>122</v>
      </c>
      <c r="O35" s="141">
        <v>122</v>
      </c>
      <c r="P35" s="141">
        <v>122</v>
      </c>
      <c r="Q35" s="141">
        <v>122</v>
      </c>
      <c r="R35" s="141">
        <v>109.4593505859375</v>
      </c>
      <c r="S35" s="141"/>
      <c r="T35" s="183"/>
      <c r="U35" s="102"/>
      <c r="V35" s="41"/>
      <c r="W35" s="17">
        <f>SUM(F35:T35)</f>
        <v>1573.4593505859375</v>
      </c>
      <c r="X35" s="96">
        <v>130</v>
      </c>
      <c r="Y35" s="96">
        <v>12</v>
      </c>
      <c r="Z35" s="39">
        <v>109.4593505859375</v>
      </c>
      <c r="AA35" s="39"/>
      <c r="AB35" s="135"/>
      <c r="AC35" s="135"/>
      <c r="AD35" s="135"/>
      <c r="AE35" s="135"/>
      <c r="AF35" s="39"/>
    </row>
    <row r="36" spans="1:32" s="12" customFormat="1" ht="18.899999999999999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13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-4.0752100840336425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41"/>
      <c r="O36" s="141"/>
      <c r="P36" s="141"/>
      <c r="Q36" s="141"/>
      <c r="R36" s="141"/>
      <c r="S36" s="141"/>
      <c r="T36" s="183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184"/>
      <c r="O37" s="184"/>
      <c r="P37" s="141"/>
      <c r="Q37" s="141"/>
      <c r="R37" s="141"/>
      <c r="S37" s="141"/>
      <c r="T37" s="183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13">
        <f>Лист1!O$5</f>
        <v>1586.0470588235291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5.9711899357622195E-2</v>
      </c>
      <c r="D38" s="15">
        <f>C38-E38</f>
        <v>5.9711899357622195E-2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122</v>
      </c>
      <c r="J38" s="79">
        <v>122</v>
      </c>
      <c r="K38" s="79">
        <v>122</v>
      </c>
      <c r="L38" s="79">
        <v>122</v>
      </c>
      <c r="M38" s="79">
        <v>109.9</v>
      </c>
      <c r="N38" s="141">
        <v>109.9</v>
      </c>
      <c r="O38" s="141">
        <v>109.9</v>
      </c>
      <c r="P38" s="141">
        <v>109.9</v>
      </c>
      <c r="Q38" s="141">
        <v>109.9</v>
      </c>
      <c r="R38" s="141">
        <v>109.9</v>
      </c>
      <c r="S38" s="141">
        <v>88.667749023437182</v>
      </c>
      <c r="T38" s="183"/>
      <c r="U38" s="102"/>
      <c r="V38" s="41"/>
      <c r="W38" s="17">
        <f>SUM(F38:T38)</f>
        <v>1602.0677490234375</v>
      </c>
      <c r="X38" s="135">
        <v>132</v>
      </c>
      <c r="Y38" s="135">
        <v>13</v>
      </c>
      <c r="Z38" s="39">
        <v>16.0677490234375</v>
      </c>
      <c r="AA38" s="39">
        <v>38.9322509765625</v>
      </c>
      <c r="AB38" s="135">
        <v>4</v>
      </c>
      <c r="AC38" s="135">
        <v>5</v>
      </c>
      <c r="AD38" s="135">
        <v>2</v>
      </c>
      <c r="AE38" s="135">
        <v>6</v>
      </c>
      <c r="AF38" s="39">
        <v>24.2</v>
      </c>
    </row>
    <row r="39" spans="1:32" s="12" customFormat="1" ht="18.899999999999999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14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-13.052941176470767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41"/>
      <c r="O39" s="141"/>
      <c r="P39" s="141"/>
      <c r="Q39" s="141"/>
      <c r="R39" s="141"/>
      <c r="S39" s="141"/>
      <c r="T39" s="183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184"/>
      <c r="O40" s="184"/>
      <c r="P40" s="141"/>
      <c r="Q40" s="141"/>
      <c r="R40" s="141"/>
      <c r="S40" s="141"/>
      <c r="T40" s="183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13">
        <f>Лист1!P$5</f>
        <v>1614.3693277310924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0.31401288689107676</v>
      </c>
      <c r="D41" s="15">
        <f>C41-E41</f>
        <v>0.31401288689107676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122</v>
      </c>
      <c r="L41" s="79">
        <v>122</v>
      </c>
      <c r="M41" s="79">
        <v>122</v>
      </c>
      <c r="N41" s="141">
        <v>122</v>
      </c>
      <c r="O41" s="141">
        <v>109.9</v>
      </c>
      <c r="P41" s="141">
        <v>109.9</v>
      </c>
      <c r="Q41" s="141">
        <v>109.9</v>
      </c>
      <c r="R41" s="141">
        <v>109.9</v>
      </c>
      <c r="S41" s="141">
        <v>93.076147460937136</v>
      </c>
      <c r="T41" s="183"/>
      <c r="U41" s="102"/>
      <c r="V41" s="41"/>
      <c r="W41" s="17">
        <f>SUM(F41:T41)</f>
        <v>1630.6761474609375</v>
      </c>
      <c r="X41" s="135">
        <v>134</v>
      </c>
      <c r="Y41" s="135">
        <v>13</v>
      </c>
      <c r="Z41" s="39">
        <v>44.6761474609375</v>
      </c>
      <c r="AA41" s="39">
        <v>10.3238525390625</v>
      </c>
      <c r="AB41" s="135">
        <v>1</v>
      </c>
      <c r="AC41" s="135">
        <v>5</v>
      </c>
      <c r="AD41" s="135">
        <v>1</v>
      </c>
      <c r="AE41" s="135">
        <v>4</v>
      </c>
      <c r="AF41" s="39">
        <v>36.299999999999997</v>
      </c>
    </row>
    <row r="42" spans="1:32" s="12" customFormat="1" ht="18.899999999999999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14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-8.9306722689075286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41"/>
      <c r="O42" s="141"/>
      <c r="P42" s="141"/>
      <c r="Q42" s="141"/>
      <c r="R42" s="141"/>
      <c r="S42" s="141"/>
      <c r="T42" s="183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184"/>
      <c r="O43" s="184"/>
      <c r="P43" s="141"/>
      <c r="Q43" s="141"/>
      <c r="R43" s="141"/>
      <c r="S43" s="141"/>
      <c r="T43" s="183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7">
        <f>Лист1!Q$5</f>
        <v>1642.6915966386553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0.55954487485438464</v>
      </c>
      <c r="D44" s="15">
        <f>C44-E44</f>
        <v>0.55954487485438464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122</v>
      </c>
      <c r="M44" s="82">
        <v>122</v>
      </c>
      <c r="N44" s="174">
        <v>122</v>
      </c>
      <c r="O44" s="174">
        <v>122</v>
      </c>
      <c r="P44" s="174">
        <v>122</v>
      </c>
      <c r="Q44" s="174">
        <v>122</v>
      </c>
      <c r="R44" s="174">
        <v>109.9</v>
      </c>
      <c r="S44" s="174">
        <v>85.384423828124909</v>
      </c>
      <c r="T44" s="185"/>
      <c r="U44" s="102"/>
      <c r="V44" s="171"/>
      <c r="W44" s="28">
        <f>SUM(F44:T44)</f>
        <v>1659.284423828125</v>
      </c>
      <c r="X44" s="135">
        <v>137</v>
      </c>
      <c r="Y44" s="135">
        <v>13</v>
      </c>
      <c r="Z44" s="39">
        <v>73.284423828125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899999999999999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14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-4.8084033613447446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41"/>
      <c r="O45" s="141"/>
      <c r="P45" s="141"/>
      <c r="Q45" s="141"/>
      <c r="R45" s="141"/>
      <c r="S45" s="141"/>
      <c r="T45" s="183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184"/>
      <c r="O46" s="184"/>
      <c r="P46" s="141"/>
      <c r="Q46" s="141"/>
      <c r="R46" s="141"/>
      <c r="S46" s="141"/>
      <c r="T46" s="183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13">
        <f>Лист1!R$5</f>
        <v>1671.0138655462185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7.26424580457804E-2</v>
      </c>
      <c r="D47" s="15">
        <f>C47-E47</f>
        <v>7.26424580457804E-2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122</v>
      </c>
      <c r="M47" s="79">
        <v>122</v>
      </c>
      <c r="N47" s="141">
        <v>122</v>
      </c>
      <c r="O47" s="141">
        <v>122</v>
      </c>
      <c r="P47" s="141">
        <v>122</v>
      </c>
      <c r="Q47" s="141">
        <v>122</v>
      </c>
      <c r="R47" s="141">
        <v>122</v>
      </c>
      <c r="S47" s="141">
        <v>101.892822265625</v>
      </c>
      <c r="T47" s="183"/>
      <c r="U47" s="102"/>
      <c r="V47" s="41"/>
      <c r="W47" s="17">
        <f>SUM(F47:T47)</f>
        <v>1687.892822265625</v>
      </c>
      <c r="X47" s="135">
        <v>139</v>
      </c>
      <c r="Y47" s="135">
        <v>13</v>
      </c>
      <c r="Z47" s="39">
        <v>101.892822265625</v>
      </c>
      <c r="AA47" s="39"/>
      <c r="AB47" s="135"/>
      <c r="AC47" s="135"/>
      <c r="AD47" s="135"/>
      <c r="AE47" s="135"/>
      <c r="AF47" s="39"/>
    </row>
    <row r="48" spans="1:32" s="12" customFormat="1" ht="18.899999999999999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14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-12.786134453781415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41"/>
      <c r="O48" s="141"/>
      <c r="P48" s="141"/>
      <c r="Q48" s="141"/>
      <c r="R48" s="141"/>
      <c r="S48" s="141"/>
      <c r="T48" s="183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184"/>
      <c r="O49" s="184"/>
      <c r="P49" s="141"/>
      <c r="Q49" s="141"/>
      <c r="R49" s="141"/>
      <c r="S49" s="141"/>
      <c r="T49" s="183"/>
      <c r="U49" s="102"/>
      <c r="V49" s="41"/>
      <c r="W49" s="17"/>
    </row>
    <row r="50" spans="1:35" ht="18" x14ac:dyDescent="0.35">
      <c r="A50" s="60">
        <f>Лист1!S$3</f>
        <v>12</v>
      </c>
      <c r="B50" s="13">
        <f>Лист1!S$5</f>
        <v>1699.3361344537814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0.31401288689106621</v>
      </c>
      <c r="D50" s="15">
        <f>C50-E50</f>
        <v>0.31401288689106621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109.9</v>
      </c>
      <c r="N50" s="168">
        <v>109.9</v>
      </c>
      <c r="O50" s="168">
        <v>109.9</v>
      </c>
      <c r="P50" s="168">
        <v>109.9</v>
      </c>
      <c r="Q50" s="168">
        <v>109.9</v>
      </c>
      <c r="R50" s="168">
        <v>109.9</v>
      </c>
      <c r="S50" s="168">
        <v>109.9</v>
      </c>
      <c r="T50" s="186">
        <v>93.201098632812091</v>
      </c>
      <c r="U50" s="102"/>
      <c r="V50" s="41"/>
      <c r="W50" s="17">
        <f>SUM(F50:T50)</f>
        <v>1716.5010986328125</v>
      </c>
      <c r="X50" s="135">
        <v>141</v>
      </c>
      <c r="Y50" s="135">
        <v>14</v>
      </c>
      <c r="Z50" s="39">
        <v>8.5010986328125</v>
      </c>
      <c r="AA50" s="141">
        <v>46.4989013671875</v>
      </c>
      <c r="AB50" s="135">
        <v>4</v>
      </c>
      <c r="AC50" s="135">
        <v>5</v>
      </c>
      <c r="AD50" s="135">
        <v>2</v>
      </c>
      <c r="AE50" s="135">
        <v>7</v>
      </c>
      <c r="AF50" s="39">
        <v>36.299999999999997</v>
      </c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15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-9.6638655462186307</v>
      </c>
      <c r="E51" s="129">
        <f>B50</f>
        <v>1699.3361344537814</v>
      </c>
      <c r="F51" s="20">
        <f>C51-F50</f>
        <v>-107</v>
      </c>
      <c r="G51" s="26">
        <f t="shared" ref="G51:M51" si="3">F51-G50</f>
        <v>-229</v>
      </c>
      <c r="H51" s="26">
        <f t="shared" si="3"/>
        <v>-351</v>
      </c>
      <c r="I51" s="26">
        <f t="shared" si="3"/>
        <v>-473</v>
      </c>
      <c r="J51" s="26">
        <f t="shared" si="3"/>
        <v>-595</v>
      </c>
      <c r="K51" s="26">
        <f t="shared" si="3"/>
        <v>-717</v>
      </c>
      <c r="L51" s="26">
        <f t="shared" si="3"/>
        <v>-839</v>
      </c>
      <c r="M51" s="26">
        <f t="shared" si="3"/>
        <v>-948.9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9.9488555752879648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0.28331177950060055</v>
      </c>
      <c r="D53" s="31">
        <f>AVERAGE(D11,D14,D17,D20,D23,D26,D29,D32,D35,D38,D41,D44,D47,D50,)</f>
        <v>0.28331177950060055</v>
      </c>
      <c r="E53" s="31">
        <f>AVERAGE(E11,E14,E17,E20,E23,E26,E29,E32,E35,E38,E41,E44,E47,E50,)</f>
        <v>0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399999999999999" x14ac:dyDescent="0.35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399999999999999" x14ac:dyDescent="0.35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399999999999999" x14ac:dyDescent="0.35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3"/>
      <c r="P57" s="153"/>
      <c r="Q57" s="153"/>
      <c r="R57" s="153"/>
      <c r="S57" s="153"/>
      <c r="T57" s="153"/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2"/>
      <c r="P58" s="93"/>
      <c r="Q58" s="152"/>
      <c r="R58" s="152"/>
      <c r="S58" s="152"/>
      <c r="T58" s="152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210">
        <v>9</v>
      </c>
      <c r="O59" s="210">
        <v>10</v>
      </c>
      <c r="P59" s="210">
        <v>11</v>
      </c>
      <c r="Q59" s="210">
        <v>12</v>
      </c>
      <c r="R59" s="210">
        <v>13</v>
      </c>
      <c r="S59" s="210">
        <v>14</v>
      </c>
      <c r="T59" s="210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211"/>
      <c r="O60" s="211"/>
      <c r="P60" s="211"/>
      <c r="Q60" s="211"/>
      <c r="R60" s="211"/>
      <c r="S60" s="211"/>
      <c r="T60" s="211"/>
      <c r="U60" s="104"/>
      <c r="V60" s="20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" x14ac:dyDescent="0.35">
      <c r="A61" s="60">
        <f>Лист1!F$3</f>
        <v>7</v>
      </c>
      <c r="B61" s="13">
        <f>Лист1!F$5</f>
        <v>991.27941176470586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-9.2868693162427018E-2</v>
      </c>
      <c r="D61" s="15">
        <f>C61-E61</f>
        <v>-9.2868693162427018E-2</v>
      </c>
      <c r="E61" s="32">
        <f>IF(D62 &gt; $D$60,D62/$B61*100,0)</f>
        <v>0</v>
      </c>
      <c r="F61" s="78">
        <v>122</v>
      </c>
      <c r="G61" s="79">
        <v>122</v>
      </c>
      <c r="H61" s="79">
        <v>109.9</v>
      </c>
      <c r="I61" s="79">
        <v>109.9</v>
      </c>
      <c r="J61" s="79">
        <v>109.9</v>
      </c>
      <c r="K61" s="79">
        <v>109.9</v>
      </c>
      <c r="L61" s="79">
        <v>109.9</v>
      </c>
      <c r="M61" s="79">
        <v>109.9</v>
      </c>
      <c r="N61" s="179">
        <v>97.892358398437636</v>
      </c>
      <c r="O61" s="179"/>
      <c r="P61" s="179"/>
      <c r="Q61" s="179"/>
      <c r="R61" s="179"/>
      <c r="S61" s="179"/>
      <c r="T61" s="180"/>
      <c r="U61" s="104"/>
      <c r="V61" s="41"/>
      <c r="W61" s="17">
        <f t="shared" ref="W61:W70" si="6">SUM(F61:T61)</f>
        <v>1001.2923583984375</v>
      </c>
      <c r="X61" s="96">
        <v>82</v>
      </c>
      <c r="Y61" s="96">
        <v>8</v>
      </c>
      <c r="Z61" s="39">
        <v>25.2923583984375</v>
      </c>
      <c r="AA61" s="97">
        <v>49.7076416015625</v>
      </c>
      <c r="AB61" s="135">
        <v>5</v>
      </c>
      <c r="AC61" s="135">
        <v>3</v>
      </c>
      <c r="AD61" s="135">
        <v>2</v>
      </c>
      <c r="AE61" s="135">
        <v>6</v>
      </c>
      <c r="AF61" s="39">
        <v>12.1</v>
      </c>
    </row>
    <row r="62" spans="1:35" ht="16.5" hidden="1" customHeight="1" x14ac:dyDescent="0.3">
      <c r="A62" s="58"/>
      <c r="B62" s="165"/>
      <c r="C62" s="19">
        <f>$C$58*
(SIGN($F61)+SIGN($G61)+SIGN($H61)+SIGN($I61)
+SIGN($J61)+SIGN($K61)+SIGN($L61)+SIGN($M61)
+SIGN($N61)+SIGN($O61)+SIGN($P61)+SIGN($Q61)
+SIGN($R61)+SIGN($S61)+SIGN($T61)+SIGN($V61))</f>
        <v>9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-9.9205882352940762</v>
      </c>
      <c r="E62" s="129">
        <f>B61</f>
        <v>991.27941176470586</v>
      </c>
      <c r="F62" s="78"/>
      <c r="G62" s="79"/>
      <c r="H62" s="79"/>
      <c r="I62" s="79"/>
      <c r="J62" s="79"/>
      <c r="K62" s="79"/>
      <c r="L62" s="79"/>
      <c r="M62" s="79"/>
      <c r="N62" s="181"/>
      <c r="O62" s="181"/>
      <c r="P62" s="181"/>
      <c r="Q62" s="181"/>
      <c r="R62" s="181"/>
      <c r="S62" s="181"/>
      <c r="T62" s="182"/>
      <c r="U62" s="104"/>
      <c r="V62" s="41"/>
      <c r="W62" s="17"/>
      <c r="X62" s="96"/>
      <c r="Y62" s="96"/>
      <c r="AA62" s="97"/>
    </row>
    <row r="63" spans="1:35" ht="16.5" hidden="1" customHeight="1" x14ac:dyDescent="0.3">
      <c r="A63" s="58"/>
      <c r="B63" s="165"/>
      <c r="C63" s="22"/>
      <c r="D63" s="22"/>
      <c r="E63" s="22">
        <f>IF(B61&gt;0,(B61/ROUNDUP(ROUNDUP(((B61-($C$58*ROUNDUP(B61/$H$58,0)))/$C$57),0)/$H$57,0)-$C$58)/$C$57,0-$C$58/$C$57)</f>
        <v>9.0200129638632323</v>
      </c>
      <c r="F63" s="78"/>
      <c r="G63" s="79"/>
      <c r="H63" s="79"/>
      <c r="I63" s="79"/>
      <c r="J63" s="79"/>
      <c r="K63" s="79"/>
      <c r="L63" s="79"/>
      <c r="M63" s="79"/>
      <c r="N63" s="181"/>
      <c r="O63" s="181"/>
      <c r="P63" s="181"/>
      <c r="Q63" s="181"/>
      <c r="R63" s="181"/>
      <c r="S63" s="181"/>
      <c r="T63" s="182"/>
      <c r="U63" s="104"/>
      <c r="V63" s="41"/>
      <c r="W63" s="17"/>
      <c r="X63" s="96"/>
      <c r="Y63" s="96"/>
      <c r="AA63" s="97"/>
    </row>
    <row r="64" spans="1:35" ht="18" x14ac:dyDescent="0.35">
      <c r="A64" s="60">
        <f>Лист1!G$3</f>
        <v>7.5</v>
      </c>
      <c r="B64" s="13">
        <f>Лист1!G$5</f>
        <v>1062.0850840336134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0.88364709896597282</v>
      </c>
      <c r="D64" s="15">
        <f>C64-E64</f>
        <v>0.88364709896597282</v>
      </c>
      <c r="E64" s="32">
        <f t="shared" ref="E64:E100" si="7">IF(D65 &gt; $D$60,D65/$B64*100,0)</f>
        <v>0</v>
      </c>
      <c r="F64" s="78">
        <v>122</v>
      </c>
      <c r="G64" s="79">
        <v>122</v>
      </c>
      <c r="H64" s="79">
        <v>122</v>
      </c>
      <c r="I64" s="79">
        <v>122</v>
      </c>
      <c r="J64" s="79">
        <v>122</v>
      </c>
      <c r="K64" s="79">
        <v>122</v>
      </c>
      <c r="L64" s="79">
        <v>122</v>
      </c>
      <c r="M64" s="79">
        <v>122</v>
      </c>
      <c r="N64" s="181">
        <v>96.813232421875</v>
      </c>
      <c r="O64" s="181"/>
      <c r="P64" s="181"/>
      <c r="Q64" s="181"/>
      <c r="R64" s="181"/>
      <c r="S64" s="181"/>
      <c r="T64" s="182"/>
      <c r="U64" s="104"/>
      <c r="V64" s="41"/>
      <c r="W64" s="17">
        <f t="shared" si="6"/>
        <v>1072.813232421875</v>
      </c>
      <c r="X64" s="96">
        <v>88</v>
      </c>
      <c r="Y64" s="96">
        <v>8</v>
      </c>
      <c r="Z64" s="39">
        <v>96.813232421875</v>
      </c>
      <c r="AA64" s="97"/>
    </row>
    <row r="65" spans="1:32" s="12" customFormat="1" ht="16.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9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0.38508403361333876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81"/>
      <c r="O65" s="181"/>
      <c r="P65" s="181"/>
      <c r="Q65" s="181"/>
      <c r="R65" s="181"/>
      <c r="S65" s="181"/>
      <c r="T65" s="182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81"/>
      <c r="O66" s="181"/>
      <c r="P66" s="181"/>
      <c r="Q66" s="181"/>
      <c r="R66" s="181"/>
      <c r="S66" s="181"/>
      <c r="T66" s="182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" x14ac:dyDescent="0.35">
      <c r="A67" s="60">
        <f>Лист1!H$3</f>
        <v>8</v>
      </c>
      <c r="B67" s="13">
        <f>Лист1!H$5</f>
        <v>1132.8907563025209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0.67003426943788791</v>
      </c>
      <c r="D67" s="15">
        <f>C67-E67</f>
        <v>0.67003426943788791</v>
      </c>
      <c r="E67" s="32">
        <f t="shared" si="7"/>
        <v>0</v>
      </c>
      <c r="F67" s="78">
        <v>122</v>
      </c>
      <c r="G67" s="79">
        <v>122</v>
      </c>
      <c r="H67" s="79">
        <v>122</v>
      </c>
      <c r="I67" s="79">
        <v>122</v>
      </c>
      <c r="J67" s="79">
        <v>122</v>
      </c>
      <c r="K67" s="79">
        <v>109.9</v>
      </c>
      <c r="L67" s="79">
        <v>109.9</v>
      </c>
      <c r="M67" s="79">
        <v>109.9</v>
      </c>
      <c r="N67" s="181">
        <v>109.9</v>
      </c>
      <c r="O67" s="181">
        <v>94.734106445312591</v>
      </c>
      <c r="P67" s="181"/>
      <c r="Q67" s="181"/>
      <c r="R67" s="181"/>
      <c r="S67" s="181"/>
      <c r="T67" s="182"/>
      <c r="U67" s="104"/>
      <c r="V67" s="41"/>
      <c r="W67" s="17">
        <f t="shared" si="6"/>
        <v>1144.3341064453125</v>
      </c>
      <c r="X67" s="96">
        <v>94</v>
      </c>
      <c r="Y67" s="96">
        <v>9</v>
      </c>
      <c r="Z67" s="39">
        <v>46.3341064453125</v>
      </c>
      <c r="AA67" s="97">
        <v>28.6658935546875</v>
      </c>
      <c r="AB67" s="135">
        <v>3</v>
      </c>
      <c r="AC67" s="135">
        <v>3</v>
      </c>
      <c r="AD67" s="135">
        <v>2</v>
      </c>
      <c r="AE67" s="135">
        <v>4</v>
      </c>
      <c r="AF67" s="39">
        <v>12.1</v>
      </c>
    </row>
    <row r="68" spans="1:32" s="12" customFormat="1" ht="16.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10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-2.4092436974790417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81"/>
      <c r="O68" s="181"/>
      <c r="P68" s="181"/>
      <c r="Q68" s="181"/>
      <c r="R68" s="181"/>
      <c r="S68" s="181"/>
      <c r="T68" s="182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81"/>
      <c r="O69" s="181"/>
      <c r="P69" s="181"/>
      <c r="Q69" s="181"/>
      <c r="R69" s="181"/>
      <c r="S69" s="181"/>
      <c r="T69" s="182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" x14ac:dyDescent="0.35">
      <c r="A70" s="60">
        <f>Лист1!I$3</f>
        <v>8.5</v>
      </c>
      <c r="B70" s="13">
        <f>Лист1!I$5</f>
        <v>1203.6964285714284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0.48155236103075411</v>
      </c>
      <c r="D70" s="15">
        <f>C70-E70</f>
        <v>0.48155236103075411</v>
      </c>
      <c r="E70" s="32">
        <f t="shared" si="7"/>
        <v>0</v>
      </c>
      <c r="F70" s="78">
        <v>122</v>
      </c>
      <c r="G70" s="79">
        <v>122</v>
      </c>
      <c r="H70" s="79">
        <v>122</v>
      </c>
      <c r="I70" s="79">
        <v>122</v>
      </c>
      <c r="J70" s="79">
        <v>122</v>
      </c>
      <c r="K70" s="79">
        <v>122</v>
      </c>
      <c r="L70" s="79">
        <v>122</v>
      </c>
      <c r="M70" s="79">
        <v>122</v>
      </c>
      <c r="N70" s="181">
        <v>122</v>
      </c>
      <c r="O70" s="181">
        <v>117.85498046875</v>
      </c>
      <c r="P70" s="181"/>
      <c r="Q70" s="181"/>
      <c r="R70" s="181"/>
      <c r="S70" s="181"/>
      <c r="T70" s="182"/>
      <c r="U70" s="104"/>
      <c r="V70" s="41"/>
      <c r="W70" s="17">
        <f t="shared" si="6"/>
        <v>1215.85498046875</v>
      </c>
      <c r="X70" s="96">
        <v>100</v>
      </c>
      <c r="Y70" s="96">
        <v>9</v>
      </c>
      <c r="Z70" s="39">
        <v>117.85498046875</v>
      </c>
      <c r="AA70" s="97"/>
      <c r="AB70" s="135"/>
      <c r="AC70" s="135"/>
      <c r="AD70" s="135"/>
      <c r="AE70" s="135"/>
      <c r="AF70" s="39"/>
    </row>
    <row r="71" spans="1:32" s="12" customFormat="1" ht="16.5" hidden="1" customHeight="1" x14ac:dyDescent="0.3">
      <c r="A71" s="58"/>
      <c r="B71" s="164"/>
      <c r="C71" s="19">
        <f>$C$58*
(SIGN($F70)+SIGN($G70)+SIGN($H70)+SIGN($I70)
+SIGN($J70)+SIGN($K70)+SIGN($L70)+SIGN($M70)
+SIGN($N70)+SIGN($O70)+SIGN($P70)+SIGN($Q70)
+SIGN($R70)+SIGN($S70)+SIGN($T70)+SIGN($V70))</f>
        <v>10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-4.2035714285714221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81"/>
      <c r="O71" s="181"/>
      <c r="P71" s="181"/>
      <c r="Q71" s="181"/>
      <c r="R71" s="181"/>
      <c r="S71" s="181"/>
      <c r="T71" s="182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" hidden="1" customHeight="1" x14ac:dyDescent="0.3">
      <c r="A72" s="58"/>
      <c r="B72" s="164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81"/>
      <c r="O72" s="181"/>
      <c r="P72" s="181"/>
      <c r="Q72" s="181"/>
      <c r="R72" s="181"/>
      <c r="S72" s="181"/>
      <c r="T72" s="182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" x14ac:dyDescent="0.35">
      <c r="A73" s="60">
        <f>Лист1!J$3</f>
        <v>9</v>
      </c>
      <c r="B73" s="13">
        <f>Лист1!J$5</f>
        <v>1274.502100840336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0.31401288689106177</v>
      </c>
      <c r="D73" s="15">
        <f>C73-E73</f>
        <v>0.31401288689106177</v>
      </c>
      <c r="E73" s="32">
        <f t="shared" si="7"/>
        <v>0</v>
      </c>
      <c r="F73" s="78">
        <v>122</v>
      </c>
      <c r="G73" s="79">
        <v>122</v>
      </c>
      <c r="H73" s="79">
        <v>122</v>
      </c>
      <c r="I73" s="79">
        <v>122</v>
      </c>
      <c r="J73" s="79">
        <v>122</v>
      </c>
      <c r="K73" s="79">
        <v>122</v>
      </c>
      <c r="L73" s="79">
        <v>122</v>
      </c>
      <c r="M73" s="79">
        <v>109.9</v>
      </c>
      <c r="N73" s="141">
        <v>109.9</v>
      </c>
      <c r="O73" s="141">
        <v>109.9</v>
      </c>
      <c r="P73" s="141">
        <v>103.67585449218745</v>
      </c>
      <c r="Q73" s="141"/>
      <c r="R73" s="141"/>
      <c r="S73" s="141"/>
      <c r="T73" s="183"/>
      <c r="U73" s="102"/>
      <c r="V73" s="41"/>
      <c r="W73" s="17">
        <f>SUM(F73:T73)</f>
        <v>1287.3758544921875</v>
      </c>
      <c r="X73" s="135">
        <v>106</v>
      </c>
      <c r="Y73" s="135">
        <v>10</v>
      </c>
      <c r="Z73" s="39">
        <v>67.3758544921875</v>
      </c>
      <c r="AA73" s="141">
        <v>7.6241455078125</v>
      </c>
      <c r="AB73" s="135">
        <v>1</v>
      </c>
      <c r="AC73" s="135">
        <v>3</v>
      </c>
      <c r="AD73" s="135">
        <v>1</v>
      </c>
      <c r="AE73" s="135">
        <v>3</v>
      </c>
      <c r="AF73" s="39">
        <v>24.2</v>
      </c>
    </row>
    <row r="74" spans="1:32" s="12" customFormat="1" ht="16.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11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-6.9978991596640299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41"/>
      <c r="O74" s="141"/>
      <c r="P74" s="141"/>
      <c r="Q74" s="141"/>
      <c r="R74" s="141"/>
      <c r="S74" s="141"/>
      <c r="T74" s="183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184"/>
      <c r="O75" s="184"/>
      <c r="P75" s="141"/>
      <c r="Q75" s="141"/>
      <c r="R75" s="141"/>
      <c r="S75" s="141"/>
      <c r="T75" s="183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" x14ac:dyDescent="0.35">
      <c r="A76" s="60">
        <f>Лист1!K$3</f>
        <v>9.5</v>
      </c>
      <c r="B76" s="13">
        <f>Лист1!K$5</f>
        <v>1345.3077731092435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0.16410914687135397</v>
      </c>
      <c r="D76" s="15">
        <f>C76-E76</f>
        <v>0.16410914687135397</v>
      </c>
      <c r="E76" s="32">
        <f t="shared" si="7"/>
        <v>0</v>
      </c>
      <c r="F76" s="78">
        <v>122</v>
      </c>
      <c r="G76" s="79">
        <v>122</v>
      </c>
      <c r="H76" s="79">
        <v>122</v>
      </c>
      <c r="I76" s="79">
        <v>122</v>
      </c>
      <c r="J76" s="79">
        <v>109.9</v>
      </c>
      <c r="K76" s="79">
        <v>109.9</v>
      </c>
      <c r="L76" s="79">
        <v>109.9</v>
      </c>
      <c r="M76" s="79">
        <v>109.9</v>
      </c>
      <c r="N76" s="141">
        <v>109.9</v>
      </c>
      <c r="O76" s="141">
        <v>109.9</v>
      </c>
      <c r="P76" s="141">
        <v>109.9</v>
      </c>
      <c r="Q76" s="141">
        <v>101.59672851562482</v>
      </c>
      <c r="R76" s="141"/>
      <c r="S76" s="141"/>
      <c r="T76" s="183"/>
      <c r="U76" s="102"/>
      <c r="V76" s="41"/>
      <c r="W76" s="17">
        <f>SUM(F76:T76)</f>
        <v>1358.896728515625</v>
      </c>
      <c r="X76" s="135">
        <v>112</v>
      </c>
      <c r="Y76" s="135">
        <v>11</v>
      </c>
      <c r="Z76" s="39">
        <v>16.896728515625</v>
      </c>
      <c r="AA76" s="39">
        <v>58.103271484375</v>
      </c>
      <c r="AB76" s="135">
        <v>5</v>
      </c>
      <c r="AC76" s="135">
        <v>3</v>
      </c>
      <c r="AD76" s="135">
        <v>3</v>
      </c>
      <c r="AE76" s="135">
        <v>7</v>
      </c>
      <c r="AF76" s="39">
        <v>24.2</v>
      </c>
    </row>
    <row r="77" spans="1:32" s="12" customFormat="1" ht="16.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12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-9.7922268907564103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41"/>
      <c r="O77" s="141"/>
      <c r="P77" s="141"/>
      <c r="Q77" s="141"/>
      <c r="R77" s="141"/>
      <c r="S77" s="141"/>
      <c r="T77" s="183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184"/>
      <c r="O78" s="184"/>
      <c r="P78" s="141"/>
      <c r="Q78" s="141"/>
      <c r="R78" s="141"/>
      <c r="S78" s="141"/>
      <c r="T78" s="183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" x14ac:dyDescent="0.35">
      <c r="A79" s="60">
        <f>Лист1!L$3</f>
        <v>10</v>
      </c>
      <c r="B79" s="13">
        <f>Лист1!L$5</f>
        <v>1416.113445378151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2.9195780853600879E-2</v>
      </c>
      <c r="D79" s="15">
        <f>C79-E79</f>
        <v>2.9195780853600879E-2</v>
      </c>
      <c r="E79" s="32">
        <f t="shared" si="7"/>
        <v>0</v>
      </c>
      <c r="F79" s="78">
        <v>122</v>
      </c>
      <c r="G79" s="79">
        <v>122</v>
      </c>
      <c r="H79" s="79">
        <v>122</v>
      </c>
      <c r="I79" s="79">
        <v>122</v>
      </c>
      <c r="J79" s="79">
        <v>122</v>
      </c>
      <c r="K79" s="79">
        <v>122</v>
      </c>
      <c r="L79" s="79">
        <v>122</v>
      </c>
      <c r="M79" s="79">
        <v>122</v>
      </c>
      <c r="N79" s="141">
        <v>122</v>
      </c>
      <c r="O79" s="141">
        <v>122</v>
      </c>
      <c r="P79" s="141">
        <v>109.9</v>
      </c>
      <c r="Q79" s="141">
        <v>100.51760253906241</v>
      </c>
      <c r="R79" s="141"/>
      <c r="S79" s="141"/>
      <c r="T79" s="183"/>
      <c r="U79" s="102"/>
      <c r="V79" s="41"/>
      <c r="W79" s="17">
        <f>SUM(F79:T79)</f>
        <v>1430.4176025390625</v>
      </c>
      <c r="X79" s="135">
        <v>118</v>
      </c>
      <c r="Y79" s="135">
        <v>11</v>
      </c>
      <c r="Z79" s="39">
        <v>88.4176025390625</v>
      </c>
      <c r="AA79" s="39"/>
      <c r="AB79" s="135"/>
      <c r="AC79" s="135">
        <v>3</v>
      </c>
      <c r="AD79" s="135">
        <v>1</v>
      </c>
      <c r="AE79" s="135">
        <v>1</v>
      </c>
      <c r="AF79" s="39">
        <v>12.1</v>
      </c>
    </row>
    <row r="80" spans="1:32" s="12" customFormat="1" ht="18" hidden="1" customHeight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12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-11.586554621849018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41"/>
      <c r="O80" s="141"/>
      <c r="P80" s="141"/>
      <c r="Q80" s="141"/>
      <c r="R80" s="141"/>
      <c r="S80" s="141"/>
      <c r="T80" s="183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5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184"/>
      <c r="O81" s="184"/>
      <c r="P81" s="141"/>
      <c r="Q81" s="141"/>
      <c r="R81" s="141"/>
      <c r="S81" s="141"/>
      <c r="T81" s="183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" x14ac:dyDescent="0.35">
      <c r="A82" s="60">
        <f>Лист1!M$3</f>
        <v>10.5</v>
      </c>
      <c r="B82" s="13">
        <f>Лист1!M$5</f>
        <v>1486.9191176470588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-9.2868693162430849E-2</v>
      </c>
      <c r="D82" s="15">
        <f>C82-E82</f>
        <v>-9.2868693162430849E-2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122</v>
      </c>
      <c r="L82" s="79">
        <v>122</v>
      </c>
      <c r="M82" s="79">
        <v>109.9</v>
      </c>
      <c r="N82" s="141">
        <v>109.9</v>
      </c>
      <c r="O82" s="141">
        <v>109.9</v>
      </c>
      <c r="P82" s="141">
        <v>109.9</v>
      </c>
      <c r="Q82" s="141">
        <v>109.9</v>
      </c>
      <c r="R82" s="141">
        <v>98.438476562499773</v>
      </c>
      <c r="S82" s="141"/>
      <c r="T82" s="183"/>
      <c r="U82" s="102"/>
      <c r="V82" s="41"/>
      <c r="W82" s="17">
        <f>SUM(F82:T82)</f>
        <v>1501.9384765625</v>
      </c>
      <c r="X82" s="135">
        <v>124</v>
      </c>
      <c r="Y82" s="135">
        <v>12</v>
      </c>
      <c r="Z82" s="39">
        <v>37.9384765625</v>
      </c>
      <c r="AA82" s="39">
        <v>37.0615234375</v>
      </c>
      <c r="AB82" s="135">
        <v>4</v>
      </c>
      <c r="AC82" s="135">
        <v>3</v>
      </c>
      <c r="AD82" s="135">
        <v>2</v>
      </c>
      <c r="AE82" s="135">
        <v>5</v>
      </c>
      <c r="AF82" s="39">
        <v>12.1</v>
      </c>
    </row>
    <row r="83" spans="1:32" s="12" customFormat="1" ht="18" hidden="1" customHeight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13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-14.380882352941171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41"/>
      <c r="O83" s="141"/>
      <c r="P83" s="141"/>
      <c r="Q83" s="141"/>
      <c r="R83" s="141"/>
      <c r="S83" s="141"/>
      <c r="T83" s="183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5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184"/>
      <c r="O84" s="184"/>
      <c r="P84" s="141"/>
      <c r="Q84" s="141"/>
      <c r="R84" s="141"/>
      <c r="S84" s="141"/>
      <c r="T84" s="183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" x14ac:dyDescent="0.35">
      <c r="A85" s="60">
        <f>Лист1!N$3</f>
        <v>11</v>
      </c>
      <c r="B85" s="13">
        <f>Лист1!N$5</f>
        <v>1557.7247899159663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0.57293752874330373</v>
      </c>
      <c r="D85" s="15">
        <f>C85-E85</f>
        <v>0.57293752874330373</v>
      </c>
      <c r="E85" s="32">
        <f t="shared" si="7"/>
        <v>0</v>
      </c>
      <c r="F85" s="78">
        <v>122</v>
      </c>
      <c r="G85" s="79">
        <v>122</v>
      </c>
      <c r="H85" s="79">
        <v>122</v>
      </c>
      <c r="I85" s="79">
        <v>122</v>
      </c>
      <c r="J85" s="79">
        <v>122</v>
      </c>
      <c r="K85" s="79">
        <v>122</v>
      </c>
      <c r="L85" s="79">
        <v>122</v>
      </c>
      <c r="M85" s="79">
        <v>122</v>
      </c>
      <c r="N85" s="141">
        <v>122</v>
      </c>
      <c r="O85" s="141">
        <v>122</v>
      </c>
      <c r="P85" s="141">
        <v>122</v>
      </c>
      <c r="Q85" s="141">
        <v>122</v>
      </c>
      <c r="R85" s="141">
        <v>109.4593505859375</v>
      </c>
      <c r="S85" s="141"/>
      <c r="T85" s="183"/>
      <c r="U85" s="102"/>
      <c r="V85" s="41"/>
      <c r="W85" s="17">
        <f>SUM(F85:T85)</f>
        <v>1573.4593505859375</v>
      </c>
      <c r="X85" s="135">
        <v>130</v>
      </c>
      <c r="Y85" s="135">
        <v>12</v>
      </c>
      <c r="Z85" s="39">
        <v>109.4593505859375</v>
      </c>
      <c r="AA85" s="39"/>
      <c r="AB85" s="135"/>
      <c r="AC85" s="135"/>
      <c r="AD85" s="135"/>
      <c r="AE85" s="135"/>
      <c r="AF85" s="39"/>
    </row>
    <row r="86" spans="1:32" s="12" customFormat="1" ht="18" hidden="1" customHeight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13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-4.0752100840336425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41"/>
      <c r="O86" s="141"/>
      <c r="P86" s="141"/>
      <c r="Q86" s="141"/>
      <c r="R86" s="141"/>
      <c r="S86" s="141"/>
      <c r="T86" s="183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5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184"/>
      <c r="O87" s="184"/>
      <c r="P87" s="141"/>
      <c r="Q87" s="141"/>
      <c r="R87" s="141"/>
      <c r="S87" s="141"/>
      <c r="T87" s="183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" x14ac:dyDescent="0.35">
      <c r="A88" s="60">
        <f>Лист1!O$3</f>
        <v>11.2</v>
      </c>
      <c r="B88" s="13">
        <f>Лист1!O$5</f>
        <v>1586.0470588235291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5.9711899357622195E-2</v>
      </c>
      <c r="D88" s="15">
        <f>C88-E88</f>
        <v>5.9711899357622195E-2</v>
      </c>
      <c r="E88" s="32">
        <f t="shared" si="7"/>
        <v>0</v>
      </c>
      <c r="F88" s="78">
        <v>122</v>
      </c>
      <c r="G88" s="79">
        <v>122</v>
      </c>
      <c r="H88" s="79">
        <v>122</v>
      </c>
      <c r="I88" s="79">
        <v>122</v>
      </c>
      <c r="J88" s="79">
        <v>122</v>
      </c>
      <c r="K88" s="79">
        <v>122</v>
      </c>
      <c r="L88" s="79">
        <v>109.9</v>
      </c>
      <c r="M88" s="79">
        <v>109.9</v>
      </c>
      <c r="N88" s="141">
        <v>109.9</v>
      </c>
      <c r="O88" s="141">
        <v>109.9</v>
      </c>
      <c r="P88" s="141">
        <v>109.9</v>
      </c>
      <c r="Q88" s="141">
        <v>109.9</v>
      </c>
      <c r="R88" s="141">
        <v>109.9</v>
      </c>
      <c r="S88" s="141">
        <v>100.76774902343709</v>
      </c>
      <c r="T88" s="183"/>
      <c r="U88" s="102"/>
      <c r="V88" s="41"/>
      <c r="W88" s="17">
        <f>SUM(F88:T88)</f>
        <v>1602.0677490234375</v>
      </c>
      <c r="X88" s="135">
        <v>132</v>
      </c>
      <c r="Y88" s="135">
        <v>13</v>
      </c>
      <c r="Z88" s="39">
        <v>16.0677490234375</v>
      </c>
      <c r="AA88" s="39">
        <v>58.9322509765625</v>
      </c>
      <c r="AB88" s="135">
        <v>5</v>
      </c>
      <c r="AC88" s="135">
        <v>3</v>
      </c>
      <c r="AD88" s="135">
        <v>3</v>
      </c>
      <c r="AE88" s="135">
        <v>7</v>
      </c>
      <c r="AF88" s="39">
        <v>24.2</v>
      </c>
    </row>
    <row r="89" spans="1:32" s="12" customFormat="1" ht="18" hidden="1" customHeight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14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-13.052941176470767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41"/>
      <c r="O89" s="141"/>
      <c r="P89" s="141"/>
      <c r="Q89" s="141"/>
      <c r="R89" s="141"/>
      <c r="S89" s="141"/>
      <c r="T89" s="183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5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184"/>
      <c r="O90" s="184"/>
      <c r="P90" s="141"/>
      <c r="Q90" s="141"/>
      <c r="R90" s="141"/>
      <c r="S90" s="141"/>
      <c r="T90" s="183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" x14ac:dyDescent="0.35">
      <c r="A91" s="60">
        <f>Лист1!P$3</f>
        <v>11.4</v>
      </c>
      <c r="B91" s="13">
        <f>Лист1!P$5</f>
        <v>1614.3693277310924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0.31401288689107676</v>
      </c>
      <c r="D91" s="15">
        <f>C91-E91</f>
        <v>0.31401288689107676</v>
      </c>
      <c r="E91" s="32">
        <f t="shared" si="7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122</v>
      </c>
      <c r="L91" s="79">
        <v>122</v>
      </c>
      <c r="M91" s="79">
        <v>122</v>
      </c>
      <c r="N91" s="141">
        <v>109.9</v>
      </c>
      <c r="O91" s="141">
        <v>109.9</v>
      </c>
      <c r="P91" s="141">
        <v>109.9</v>
      </c>
      <c r="Q91" s="141">
        <v>109.9</v>
      </c>
      <c r="R91" s="141">
        <v>109.9</v>
      </c>
      <c r="S91" s="141">
        <v>105.17614746093705</v>
      </c>
      <c r="T91" s="183"/>
      <c r="U91" s="102"/>
      <c r="V91" s="41"/>
      <c r="W91" s="17">
        <f>SUM(F91:T91)</f>
        <v>1630.6761474609375</v>
      </c>
      <c r="X91" s="135">
        <v>134</v>
      </c>
      <c r="Y91" s="135">
        <v>13</v>
      </c>
      <c r="Z91" s="39">
        <v>44.6761474609375</v>
      </c>
      <c r="AA91" s="39">
        <v>30.3238525390625</v>
      </c>
      <c r="AB91" s="135">
        <v>3</v>
      </c>
      <c r="AC91" s="135">
        <v>3</v>
      </c>
      <c r="AD91" s="135">
        <v>2</v>
      </c>
      <c r="AE91" s="135">
        <v>5</v>
      </c>
      <c r="AF91" s="39">
        <v>24.2</v>
      </c>
    </row>
    <row r="92" spans="1:32" s="12" customFormat="1" ht="18" hidden="1" customHeight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14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-8.9306722689075286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41"/>
      <c r="O92" s="141"/>
      <c r="P92" s="141"/>
      <c r="Q92" s="141"/>
      <c r="R92" s="141"/>
      <c r="S92" s="141"/>
      <c r="T92" s="183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5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184"/>
      <c r="O93" s="184"/>
      <c r="P93" s="141"/>
      <c r="Q93" s="141"/>
      <c r="R93" s="141"/>
      <c r="S93" s="141"/>
      <c r="T93" s="183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" x14ac:dyDescent="0.35">
      <c r="A94" s="60">
        <f>Лист1!Q$3</f>
        <v>11.6</v>
      </c>
      <c r="B94" s="27">
        <f>Лист1!Q$5</f>
        <v>1642.6915966386553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0.55954487485438464</v>
      </c>
      <c r="D94" s="15">
        <f>C94-E94</f>
        <v>0.55954487485438464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122</v>
      </c>
      <c r="M94" s="82">
        <v>122</v>
      </c>
      <c r="N94" s="174">
        <v>122</v>
      </c>
      <c r="O94" s="174">
        <v>122</v>
      </c>
      <c r="P94" s="174">
        <v>122</v>
      </c>
      <c r="Q94" s="174">
        <v>109.9</v>
      </c>
      <c r="R94" s="174">
        <v>109.9</v>
      </c>
      <c r="S94" s="174">
        <v>97.484423828124818</v>
      </c>
      <c r="T94" s="185"/>
      <c r="U94" s="102"/>
      <c r="V94" s="171"/>
      <c r="W94" s="28">
        <f>SUM(F94:T94)</f>
        <v>1659.284423828125</v>
      </c>
      <c r="X94" s="135">
        <v>137</v>
      </c>
      <c r="Y94" s="135">
        <v>13</v>
      </c>
      <c r="Z94" s="39">
        <v>73.284423828125</v>
      </c>
      <c r="AA94" s="39">
        <v>1.715576171875</v>
      </c>
      <c r="AB94" s="135">
        <v>1</v>
      </c>
      <c r="AC94" s="135">
        <v>3</v>
      </c>
      <c r="AD94" s="135">
        <v>1</v>
      </c>
      <c r="AE94" s="135">
        <v>2</v>
      </c>
      <c r="AF94" s="39">
        <v>12.1</v>
      </c>
    </row>
    <row r="95" spans="1:32" s="12" customFormat="1" ht="18" hidden="1" customHeight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14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-4.8084033613447446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41"/>
      <c r="O95" s="141"/>
      <c r="P95" s="141"/>
      <c r="Q95" s="141"/>
      <c r="R95" s="141"/>
      <c r="S95" s="141"/>
      <c r="T95" s="183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5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184"/>
      <c r="O96" s="184"/>
      <c r="P96" s="141"/>
      <c r="Q96" s="141"/>
      <c r="R96" s="141"/>
      <c r="S96" s="141"/>
      <c r="T96" s="183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" x14ac:dyDescent="0.35">
      <c r="A97" s="60">
        <f>Лист1!R$3</f>
        <v>11.8</v>
      </c>
      <c r="B97" s="13">
        <f>Лист1!R$5</f>
        <v>1671.0138655462185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7.26424580457804E-2</v>
      </c>
      <c r="D97" s="15">
        <f>C97-E97</f>
        <v>7.26424580457804E-2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122</v>
      </c>
      <c r="M97" s="79">
        <v>122</v>
      </c>
      <c r="N97" s="141">
        <v>122</v>
      </c>
      <c r="O97" s="141">
        <v>122</v>
      </c>
      <c r="P97" s="141">
        <v>122</v>
      </c>
      <c r="Q97" s="141">
        <v>122</v>
      </c>
      <c r="R97" s="141">
        <v>122</v>
      </c>
      <c r="S97" s="141">
        <v>101.892822265625</v>
      </c>
      <c r="T97" s="183"/>
      <c r="U97" s="102"/>
      <c r="V97" s="41"/>
      <c r="W97" s="17">
        <f>SUM(F97:T97)</f>
        <v>1687.892822265625</v>
      </c>
      <c r="X97" s="135">
        <v>139</v>
      </c>
      <c r="Y97" s="135">
        <v>13</v>
      </c>
      <c r="Z97" s="39">
        <v>101.892822265625</v>
      </c>
    </row>
    <row r="98" spans="1:35" ht="18" hidden="1" customHeight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14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-12.786134453781415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41"/>
      <c r="O98" s="141"/>
      <c r="P98" s="141"/>
      <c r="Q98" s="141"/>
      <c r="R98" s="141"/>
      <c r="S98" s="141"/>
      <c r="T98" s="183"/>
      <c r="U98" s="21"/>
      <c r="V98" s="41"/>
      <c r="W98" s="17"/>
    </row>
    <row r="99" spans="1:35" ht="18" hidden="1" customHeight="1" x14ac:dyDescent="0.35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184"/>
      <c r="O99" s="184"/>
      <c r="P99" s="141"/>
      <c r="Q99" s="141"/>
      <c r="R99" s="141"/>
      <c r="S99" s="141"/>
      <c r="T99" s="183"/>
      <c r="U99" s="102"/>
      <c r="V99" s="41"/>
      <c r="W99" s="17"/>
    </row>
    <row r="100" spans="1:35" ht="18" x14ac:dyDescent="0.35">
      <c r="A100" s="60">
        <f>Лист1!S$3</f>
        <v>12</v>
      </c>
      <c r="B100" s="13">
        <f>Лист1!S$5</f>
        <v>1699.3361344537814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0.31401288689106621</v>
      </c>
      <c r="D100" s="15">
        <f>C100-E100</f>
        <v>0.31401288689106621</v>
      </c>
      <c r="E100" s="32">
        <f t="shared" si="7"/>
        <v>0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109.9</v>
      </c>
      <c r="M100" s="88">
        <v>109.9</v>
      </c>
      <c r="N100" s="168">
        <v>109.9</v>
      </c>
      <c r="O100" s="168">
        <v>109.9</v>
      </c>
      <c r="P100" s="168">
        <v>109.9</v>
      </c>
      <c r="Q100" s="168">
        <v>109.9</v>
      </c>
      <c r="R100" s="168">
        <v>109.9</v>
      </c>
      <c r="S100" s="168">
        <v>109.9</v>
      </c>
      <c r="T100" s="186">
        <v>105.301098632812</v>
      </c>
      <c r="U100" s="102"/>
      <c r="V100" s="41"/>
      <c r="W100" s="17">
        <f>SUM(F100:T100)</f>
        <v>1716.5010986328125</v>
      </c>
      <c r="X100" s="135">
        <v>141</v>
      </c>
      <c r="Y100" s="135">
        <v>14</v>
      </c>
      <c r="Z100" s="39">
        <v>8.5010986328125</v>
      </c>
      <c r="AA100" s="141">
        <v>66.4989013671875</v>
      </c>
      <c r="AB100" s="135">
        <v>6</v>
      </c>
      <c r="AC100" s="135">
        <v>3</v>
      </c>
      <c r="AD100" s="135">
        <v>3</v>
      </c>
      <c r="AE100" s="135">
        <v>8</v>
      </c>
      <c r="AF100" s="39">
        <v>24.2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15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-9.6638655462186307</v>
      </c>
      <c r="E101" s="129">
        <f>B100</f>
        <v>1699.3361344537814</v>
      </c>
      <c r="F101" s="20">
        <f>C101-F100</f>
        <v>-107</v>
      </c>
      <c r="G101" s="26">
        <f t="shared" ref="G101:M101" si="8">F101-G100</f>
        <v>-229</v>
      </c>
      <c r="H101" s="26">
        <f t="shared" si="8"/>
        <v>-351</v>
      </c>
      <c r="I101" s="26">
        <f t="shared" si="8"/>
        <v>-473</v>
      </c>
      <c r="J101" s="26">
        <f t="shared" si="8"/>
        <v>-595</v>
      </c>
      <c r="K101" s="26">
        <f t="shared" si="8"/>
        <v>-717</v>
      </c>
      <c r="L101" s="26">
        <f t="shared" si="8"/>
        <v>-826.9</v>
      </c>
      <c r="M101" s="26">
        <f t="shared" si="8"/>
        <v>-936.8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9.9488555752879648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0.28331177950060055</v>
      </c>
      <c r="D103" s="31">
        <f>AVERAGE(D61,D64,D67,D70,D73,D76,D79,D82,D85,D88,D91,D94,D97,D100,)</f>
        <v>0.28331177950060055</v>
      </c>
      <c r="E103" s="31">
        <f>AVERAGE(E61,E64,E67,E70,E73,E76,E79,E82,E85,E88,E91,E94,E97,E100,)</f>
        <v>0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399999999999999" x14ac:dyDescent="0.35">
      <c r="B104" s="30"/>
      <c r="C104" s="31"/>
      <c r="D104" s="31"/>
      <c r="E104" s="31"/>
      <c r="V104" s="38"/>
      <c r="W104" s="40"/>
    </row>
    <row r="105" spans="1:35" ht="17.399999999999999" x14ac:dyDescent="0.35">
      <c r="B105" s="30"/>
      <c r="C105" s="31"/>
      <c r="D105" s="31"/>
      <c r="E105" s="31"/>
      <c r="V105" s="38"/>
      <c r="W105" s="40"/>
    </row>
    <row r="106" spans="1:35" ht="17.399999999999999" x14ac:dyDescent="0.35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3"/>
      <c r="P107" s="153"/>
      <c r="Q107" s="153"/>
      <c r="R107" s="153"/>
      <c r="S107" s="153"/>
      <c r="T107" s="153"/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115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2"/>
      <c r="P108" s="93"/>
      <c r="Q108" s="152"/>
      <c r="R108" s="152"/>
      <c r="S108" s="152"/>
      <c r="T108" s="152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210">
        <v>9</v>
      </c>
      <c r="O109" s="210">
        <v>10</v>
      </c>
      <c r="P109" s="210">
        <v>11</v>
      </c>
      <c r="Q109" s="210">
        <v>12</v>
      </c>
      <c r="R109" s="210">
        <v>13</v>
      </c>
      <c r="S109" s="210">
        <v>14</v>
      </c>
      <c r="T109" s="210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211"/>
      <c r="O110" s="211"/>
      <c r="P110" s="211"/>
      <c r="Q110" s="211"/>
      <c r="R110" s="211"/>
      <c r="S110" s="211"/>
      <c r="T110" s="211"/>
      <c r="U110" s="104"/>
      <c r="V110" s="203">
        <f>($E$107+$E$108)/2</f>
        <v>120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" x14ac:dyDescent="0.35">
      <c r="A111" s="60">
        <f>Лист1!F$3</f>
        <v>7</v>
      </c>
      <c r="B111" s="13">
        <f>Лист1!F$5</f>
        <v>991.27941176470586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4.7897102674796406</v>
      </c>
      <c r="D111" s="15">
        <f>C111-E111</f>
        <v>0.90791757532600492</v>
      </c>
      <c r="E111" s="32">
        <f>IF(D112 &gt; $D$110,D112/$B111*100,0)</f>
        <v>3.8817926921536356</v>
      </c>
      <c r="F111" s="78">
        <v>115</v>
      </c>
      <c r="G111" s="79">
        <v>115</v>
      </c>
      <c r="H111" s="79">
        <v>115</v>
      </c>
      <c r="I111" s="79">
        <v>115</v>
      </c>
      <c r="J111" s="79">
        <v>115</v>
      </c>
      <c r="K111" s="79">
        <v>115</v>
      </c>
      <c r="L111" s="79">
        <v>115</v>
      </c>
      <c r="M111" s="79">
        <v>115</v>
      </c>
      <c r="N111" s="179">
        <v>81.2923583984375</v>
      </c>
      <c r="O111" s="179"/>
      <c r="P111" s="179"/>
      <c r="Q111" s="179"/>
      <c r="R111" s="179"/>
      <c r="S111" s="179"/>
      <c r="T111" s="180"/>
      <c r="U111" s="104"/>
      <c r="V111" s="41" t="s">
        <v>71</v>
      </c>
      <c r="W111" s="17">
        <f>SUM(F111:T111)</f>
        <v>1001.2923583984375</v>
      </c>
      <c r="X111" s="96">
        <v>82</v>
      </c>
      <c r="Y111" s="96">
        <v>8</v>
      </c>
      <c r="Z111" s="39">
        <v>25.2923583984375</v>
      </c>
      <c r="AA111" s="97">
        <v>89.7076416015625</v>
      </c>
      <c r="AB111" s="135">
        <v>8</v>
      </c>
      <c r="AC111" s="135">
        <v>0</v>
      </c>
      <c r="AD111" s="135">
        <v>99</v>
      </c>
    </row>
    <row r="112" spans="1:35" ht="16.5" hidden="1" customHeight="1" x14ac:dyDescent="0.3">
      <c r="A112" s="58"/>
      <c r="B112" s="165"/>
      <c r="C112" s="19">
        <f>$C$58*
(SIGN($F111)+SIGN($G111)+SIGN($H111)+SIGN($I111)
+SIGN($J111)+SIGN($K111)+SIGN($L111)+SIGN($M111)
+SIGN($N111)+SIGN($O111)+SIGN($P111)+SIGN($Q111)
+SIGN($R111)+SIGN($S111)+SIGN($T111)+SIGN($U111))</f>
        <v>9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38.479411764705901</v>
      </c>
      <c r="E112" s="129">
        <f>B111</f>
        <v>991.27941176470586</v>
      </c>
      <c r="F112" s="78"/>
      <c r="G112" s="79"/>
      <c r="H112" s="79"/>
      <c r="I112" s="79"/>
      <c r="J112" s="79"/>
      <c r="K112" s="79"/>
      <c r="L112" s="79"/>
      <c r="M112" s="79"/>
      <c r="N112" s="181"/>
      <c r="O112" s="181"/>
      <c r="P112" s="181"/>
      <c r="Q112" s="181"/>
      <c r="R112" s="181"/>
      <c r="S112" s="181"/>
      <c r="T112" s="182"/>
      <c r="U112" s="104"/>
      <c r="V112" s="35"/>
      <c r="W112" s="35"/>
      <c r="X112" s="96"/>
      <c r="Y112" s="96"/>
      <c r="AA112" s="97"/>
    </row>
    <row r="113" spans="1:32" s="12" customFormat="1" ht="16.5" hidden="1" customHeight="1" x14ac:dyDescent="0.3">
      <c r="A113" s="58"/>
      <c r="B113" s="165"/>
      <c r="C113" s="22"/>
      <c r="D113" s="22"/>
      <c r="E113" s="22">
        <f>IF(B111&gt;0,(B111/ROUNDUP(ROUNDUP(((B111-($C$108*ROUNDUP(B111/$H$108,0)))/$C$107),0)/$H$107,0)-$C$108)/$C$107,0-$C$108/$C$107)</f>
        <v>9.0200129638632323</v>
      </c>
      <c r="F113" s="78"/>
      <c r="G113" s="79"/>
      <c r="H113" s="79"/>
      <c r="I113" s="79"/>
      <c r="J113" s="79"/>
      <c r="K113" s="79"/>
      <c r="L113" s="79"/>
      <c r="M113" s="79"/>
      <c r="N113" s="181"/>
      <c r="O113" s="181"/>
      <c r="P113" s="181"/>
      <c r="Q113" s="181"/>
      <c r="R113" s="181"/>
      <c r="S113" s="181"/>
      <c r="T113" s="182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" x14ac:dyDescent="0.35">
      <c r="A114" s="60">
        <f>Лист1!G$3</f>
        <v>7.5</v>
      </c>
      <c r="B114" s="13">
        <f>Лист1!G$5</f>
        <v>1062.0850840336134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7.7192576438648723</v>
      </c>
      <c r="D114" s="15">
        <f>C114-E114</f>
        <v>0.84738973697093645</v>
      </c>
      <c r="E114" s="32">
        <f>IF(D115 &gt; $D$110,D115/$B114*100,0)</f>
        <v>6.8718679068939359</v>
      </c>
      <c r="F114" s="78">
        <v>119.20147026909723</v>
      </c>
      <c r="G114" s="79">
        <v>119.20147026909723</v>
      </c>
      <c r="H114" s="79">
        <v>119.20147026909723</v>
      </c>
      <c r="I114" s="79">
        <v>119.20147026909723</v>
      </c>
      <c r="J114" s="79">
        <v>119.20147026909723</v>
      </c>
      <c r="K114" s="79">
        <v>119.20147026909723</v>
      </c>
      <c r="L114" s="79">
        <v>119.20147026909723</v>
      </c>
      <c r="M114" s="79">
        <v>119.20147026909723</v>
      </c>
      <c r="N114" s="181">
        <v>119.20147026909723</v>
      </c>
      <c r="O114" s="181"/>
      <c r="P114" s="181"/>
      <c r="Q114" s="181"/>
      <c r="R114" s="181"/>
      <c r="S114" s="181"/>
      <c r="T114" s="182"/>
      <c r="U114" s="104"/>
      <c r="V114" s="41" t="s">
        <v>70</v>
      </c>
      <c r="W114" s="17">
        <f>SUM(F114:T114)</f>
        <v>1072.8132324218748</v>
      </c>
      <c r="X114" s="96">
        <v>88</v>
      </c>
      <c r="Y114" s="96">
        <v>8</v>
      </c>
      <c r="Z114" s="39">
        <v>96.813232421875</v>
      </c>
      <c r="AA114" s="97">
        <v>18.186767578125</v>
      </c>
      <c r="AB114" s="135">
        <v>2</v>
      </c>
      <c r="AC114" s="135">
        <v>0</v>
      </c>
      <c r="AD114" s="135">
        <v>99</v>
      </c>
      <c r="AE114" s="135"/>
      <c r="AF114" s="39"/>
    </row>
    <row r="115" spans="1:32" s="12" customFormat="1" ht="16.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9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72.985084033613361</v>
      </c>
      <c r="E115" s="129">
        <f>B114</f>
        <v>1062.0850840336134</v>
      </c>
      <c r="F115" s="78"/>
      <c r="G115" s="79"/>
      <c r="H115" s="79"/>
      <c r="I115" s="79"/>
      <c r="J115" s="79"/>
      <c r="K115" s="79"/>
      <c r="L115" s="79"/>
      <c r="M115" s="79"/>
      <c r="N115" s="181"/>
      <c r="O115" s="181"/>
      <c r="P115" s="181"/>
      <c r="Q115" s="181"/>
      <c r="R115" s="181"/>
      <c r="S115" s="181"/>
      <c r="T115" s="182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9.6702027918605467</v>
      </c>
      <c r="F116" s="78"/>
      <c r="G116" s="79"/>
      <c r="H116" s="79"/>
      <c r="I116" s="79"/>
      <c r="J116" s="79"/>
      <c r="K116" s="79"/>
      <c r="L116" s="79"/>
      <c r="M116" s="79"/>
      <c r="N116" s="181"/>
      <c r="O116" s="181"/>
      <c r="P116" s="181"/>
      <c r="Q116" s="181"/>
      <c r="R116" s="181"/>
      <c r="S116" s="181"/>
      <c r="T116" s="182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" x14ac:dyDescent="0.35">
      <c r="A117" s="60">
        <f>Лист1!H$3</f>
        <v>8</v>
      </c>
      <c r="B117" s="13">
        <f>Лист1!H$5</f>
        <v>1132.8907563025209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4.9422908599997077</v>
      </c>
      <c r="D117" s="15">
        <f>C117-E117</f>
        <v>0.88269764267806039</v>
      </c>
      <c r="E117" s="32">
        <f>IF(D118 &gt; $D$110,D118/$B117*100,0)</f>
        <v>4.0595932173216474</v>
      </c>
      <c r="F117" s="78">
        <v>115</v>
      </c>
      <c r="G117" s="79">
        <v>115</v>
      </c>
      <c r="H117" s="79">
        <v>115</v>
      </c>
      <c r="I117" s="79">
        <v>115</v>
      </c>
      <c r="J117" s="79">
        <v>115</v>
      </c>
      <c r="K117" s="79">
        <v>115</v>
      </c>
      <c r="L117" s="79">
        <v>115</v>
      </c>
      <c r="M117" s="79">
        <v>115</v>
      </c>
      <c r="N117" s="181">
        <v>115</v>
      </c>
      <c r="O117" s="181">
        <v>109.3341064453125</v>
      </c>
      <c r="P117" s="181"/>
      <c r="Q117" s="181"/>
      <c r="R117" s="181"/>
      <c r="S117" s="181"/>
      <c r="T117" s="182"/>
      <c r="U117" s="104"/>
      <c r="V117" s="41" t="s">
        <v>71</v>
      </c>
      <c r="W117" s="17">
        <f>SUM(F117:T117)</f>
        <v>1144.3341064453125</v>
      </c>
      <c r="X117" s="96">
        <v>94</v>
      </c>
      <c r="Y117" s="96">
        <v>9</v>
      </c>
      <c r="Z117" s="39">
        <v>46.3341064453125</v>
      </c>
      <c r="AA117" s="97">
        <v>68.6658935546875</v>
      </c>
      <c r="AB117" s="135">
        <v>6</v>
      </c>
      <c r="AC117" s="135">
        <v>0</v>
      </c>
      <c r="AD117" s="135">
        <v>99</v>
      </c>
      <c r="AE117" s="135"/>
      <c r="AF117" s="39"/>
    </row>
    <row r="118" spans="1:32" s="12" customFormat="1" ht="16.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10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45.990756302521049</v>
      </c>
      <c r="E118" s="129">
        <f>B117</f>
        <v>1132.8907563025209</v>
      </c>
      <c r="F118" s="78"/>
      <c r="G118" s="79"/>
      <c r="H118" s="79"/>
      <c r="I118" s="79"/>
      <c r="J118" s="79"/>
      <c r="K118" s="79"/>
      <c r="L118" s="79"/>
      <c r="M118" s="79"/>
      <c r="N118" s="181"/>
      <c r="O118" s="181"/>
      <c r="P118" s="181"/>
      <c r="Q118" s="181"/>
      <c r="R118" s="181"/>
      <c r="S118" s="181"/>
      <c r="T118" s="182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9.280088895062157</v>
      </c>
      <c r="F119" s="78"/>
      <c r="G119" s="79"/>
      <c r="H119" s="79"/>
      <c r="I119" s="79"/>
      <c r="J119" s="79"/>
      <c r="K119" s="79"/>
      <c r="L119" s="79"/>
      <c r="M119" s="79"/>
      <c r="N119" s="181"/>
      <c r="O119" s="181"/>
      <c r="P119" s="181"/>
      <c r="Q119" s="181"/>
      <c r="R119" s="181"/>
      <c r="S119" s="181"/>
      <c r="T119" s="182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" x14ac:dyDescent="0.35">
      <c r="A120" s="60">
        <f>Лист1!I$3</f>
        <v>8.5</v>
      </c>
      <c r="B120" s="13">
        <f>Лист1!I$5</f>
        <v>1203.6964285714284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0.48155236103075411</v>
      </c>
      <c r="D120" s="15">
        <f>C120-E120</f>
        <v>0.48155236103075411</v>
      </c>
      <c r="E120" s="32">
        <f>IF(D121 &gt; $D$110,D121/$B120*100,0)</f>
        <v>0</v>
      </c>
      <c r="F120" s="78">
        <v>122</v>
      </c>
      <c r="G120" s="79">
        <v>122</v>
      </c>
      <c r="H120" s="79">
        <v>122</v>
      </c>
      <c r="I120" s="79">
        <v>122</v>
      </c>
      <c r="J120" s="79">
        <v>122</v>
      </c>
      <c r="K120" s="79">
        <v>122</v>
      </c>
      <c r="L120" s="79">
        <v>122</v>
      </c>
      <c r="M120" s="79">
        <v>122</v>
      </c>
      <c r="N120" s="181">
        <v>122</v>
      </c>
      <c r="O120" s="181">
        <v>117.85498046875</v>
      </c>
      <c r="P120" s="181"/>
      <c r="Q120" s="181"/>
      <c r="R120" s="181"/>
      <c r="S120" s="181"/>
      <c r="T120" s="182"/>
      <c r="U120" s="104"/>
      <c r="V120" s="41"/>
      <c r="W120" s="17">
        <f>SUM(F120:T120)</f>
        <v>1215.85498046875</v>
      </c>
      <c r="X120" s="96">
        <v>100</v>
      </c>
      <c r="Y120" s="96">
        <v>9</v>
      </c>
      <c r="Z120" s="39">
        <v>117.85498046875</v>
      </c>
      <c r="AA120" s="97"/>
      <c r="AB120" s="135"/>
      <c r="AC120" s="135"/>
      <c r="AD120" s="135"/>
      <c r="AE120" s="135"/>
      <c r="AF120" s="39"/>
    </row>
    <row r="121" spans="1:32" s="12" customFormat="1" ht="16.5" hidden="1" customHeight="1" x14ac:dyDescent="0.3">
      <c r="A121" s="58"/>
      <c r="B121" s="164"/>
      <c r="C121" s="19">
        <f>$C$58*
(SIGN($F120)+SIGN($G120)+SIGN($H120)+SIGN($I120)
+SIGN($J120)+SIGN($K120)+SIGN($L120)+SIGN($M120)
+SIGN($N120)+SIGN($O120)+SIGN($P120)+SIGN($Q120)
+SIGN($R120)+SIGN($S120)+SIGN($T120)+SIGN($U120))</f>
        <v>10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-4.2035714285714221</v>
      </c>
      <c r="E121" s="129">
        <f>B120</f>
        <v>1203.6964285714284</v>
      </c>
      <c r="F121" s="78"/>
      <c r="G121" s="79"/>
      <c r="H121" s="79"/>
      <c r="I121" s="79"/>
      <c r="J121" s="79"/>
      <c r="K121" s="79"/>
      <c r="L121" s="79"/>
      <c r="M121" s="79"/>
      <c r="N121" s="181"/>
      <c r="O121" s="181"/>
      <c r="P121" s="181"/>
      <c r="Q121" s="181"/>
      <c r="R121" s="181"/>
      <c r="S121" s="181"/>
      <c r="T121" s="182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" hidden="1" customHeight="1" x14ac:dyDescent="0.3">
      <c r="A122" s="58"/>
      <c r="B122" s="164"/>
      <c r="C122" s="22"/>
      <c r="D122" s="22"/>
      <c r="E122" s="22">
        <f>IF(B120&gt;0,(B120/ROUNDUP(ROUNDUP(((B120-($C$108*ROUNDUP(B120/$H$108,0)))/$C$107),0)/$H$107,0)-$C$108)/$C$107,0-$C$108/$C$107)</f>
        <v>9.8652597402597397</v>
      </c>
      <c r="F122" s="78"/>
      <c r="G122" s="79"/>
      <c r="H122" s="79"/>
      <c r="I122" s="79"/>
      <c r="J122" s="79"/>
      <c r="K122" s="79"/>
      <c r="L122" s="79"/>
      <c r="M122" s="79"/>
      <c r="N122" s="181"/>
      <c r="O122" s="181"/>
      <c r="P122" s="181"/>
      <c r="Q122" s="181"/>
      <c r="R122" s="181"/>
      <c r="S122" s="181"/>
      <c r="T122" s="182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" x14ac:dyDescent="0.35">
      <c r="A123" s="60">
        <f>Лист1!J$3</f>
        <v>9</v>
      </c>
      <c r="B123" s="13">
        <f>Лист1!J$5</f>
        <v>1274.502100840336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6.010355007640154</v>
      </c>
      <c r="D123" s="15">
        <f>C123-E123</f>
        <v>0.86308213950743617</v>
      </c>
      <c r="E123" s="32">
        <f>IF(D124 &gt; $D$110,D124/$B123*100,0)</f>
        <v>5.1472728681327178</v>
      </c>
      <c r="F123" s="78">
        <v>117.03416859019886</v>
      </c>
      <c r="G123" s="79">
        <v>117.03416859019886</v>
      </c>
      <c r="H123" s="79">
        <v>117.03416859019886</v>
      </c>
      <c r="I123" s="79">
        <v>117.03416859019886</v>
      </c>
      <c r="J123" s="79">
        <v>117.03416859019886</v>
      </c>
      <c r="K123" s="79">
        <v>117.03416859019886</v>
      </c>
      <c r="L123" s="79">
        <v>117.03416859019886</v>
      </c>
      <c r="M123" s="79">
        <v>117.03416859019886</v>
      </c>
      <c r="N123" s="141">
        <v>117.03416859019886</v>
      </c>
      <c r="O123" s="141">
        <v>117.03416859019886</v>
      </c>
      <c r="P123" s="141">
        <v>117.03416859019886</v>
      </c>
      <c r="Q123" s="141"/>
      <c r="R123" s="141"/>
      <c r="S123" s="141"/>
      <c r="T123" s="183"/>
      <c r="U123" s="102"/>
      <c r="V123" s="41" t="s">
        <v>70</v>
      </c>
      <c r="W123" s="17">
        <f>SUM(F123:T123)</f>
        <v>1287.3758544921873</v>
      </c>
      <c r="X123" s="135">
        <v>106</v>
      </c>
      <c r="Y123" s="135">
        <v>10</v>
      </c>
      <c r="Z123" s="39">
        <v>67.3758544921875</v>
      </c>
      <c r="AA123" s="39">
        <v>47.6241455078125</v>
      </c>
      <c r="AB123" s="135">
        <v>4</v>
      </c>
      <c r="AC123" s="135">
        <v>0</v>
      </c>
      <c r="AD123" s="135">
        <v>99</v>
      </c>
      <c r="AE123" s="135"/>
      <c r="AF123" s="39"/>
    </row>
    <row r="124" spans="1:32" s="12" customFormat="1" ht="16.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11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65.602100840336107</v>
      </c>
      <c r="E124" s="129">
        <f>B123</f>
        <v>1274.502100840336</v>
      </c>
      <c r="F124" s="81"/>
      <c r="G124" s="81"/>
      <c r="H124" s="81"/>
      <c r="I124" s="81"/>
      <c r="J124" s="81"/>
      <c r="K124" s="81"/>
      <c r="L124" s="81"/>
      <c r="M124" s="79"/>
      <c r="N124" s="141"/>
      <c r="O124" s="141"/>
      <c r="P124" s="141"/>
      <c r="Q124" s="141"/>
      <c r="R124" s="141"/>
      <c r="S124" s="141"/>
      <c r="T124" s="183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9.4928782933158224</v>
      </c>
      <c r="F125" s="82"/>
      <c r="G125" s="79"/>
      <c r="H125" s="79"/>
      <c r="I125" s="79"/>
      <c r="J125" s="79"/>
      <c r="K125" s="79"/>
      <c r="L125" s="83"/>
      <c r="M125" s="81"/>
      <c r="N125" s="184"/>
      <c r="O125" s="184"/>
      <c r="P125" s="141"/>
      <c r="Q125" s="141"/>
      <c r="R125" s="141"/>
      <c r="S125" s="141"/>
      <c r="T125" s="183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" x14ac:dyDescent="0.35">
      <c r="A126" s="60">
        <f>Лист1!K$3</f>
        <v>9.5</v>
      </c>
      <c r="B126" s="13">
        <f>Лист1!K$5</f>
        <v>1345.3077731092435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1.0635315869896234</v>
      </c>
      <c r="D126" s="15">
        <f>C126-E126</f>
        <v>0.8176567637438874</v>
      </c>
      <c r="E126" s="32">
        <f>IF(D127 &gt; $D$110,D127/$B126*100,0)</f>
        <v>0.24587482324573595</v>
      </c>
      <c r="F126" s="78">
        <v>123.53606622869319</v>
      </c>
      <c r="G126" s="79">
        <v>123.53606622869319</v>
      </c>
      <c r="H126" s="79">
        <v>123.53606622869319</v>
      </c>
      <c r="I126" s="79">
        <v>123.53606622869319</v>
      </c>
      <c r="J126" s="79">
        <v>123.53606622869319</v>
      </c>
      <c r="K126" s="79">
        <v>123.53606622869319</v>
      </c>
      <c r="L126" s="79">
        <v>123.53606622869319</v>
      </c>
      <c r="M126" s="79">
        <v>123.53606622869319</v>
      </c>
      <c r="N126" s="141">
        <v>123.53606622869319</v>
      </c>
      <c r="O126" s="141">
        <v>123.53606622869319</v>
      </c>
      <c r="P126" s="141">
        <v>123.53606622869319</v>
      </c>
      <c r="Q126" s="141"/>
      <c r="R126" s="141"/>
      <c r="S126" s="141"/>
      <c r="T126" s="183"/>
      <c r="U126" s="102"/>
      <c r="V126" s="41" t="s">
        <v>70</v>
      </c>
      <c r="W126" s="17">
        <f>SUM(F126:T126)</f>
        <v>1358.8967285156255</v>
      </c>
      <c r="X126" s="135">
        <v>112</v>
      </c>
      <c r="Y126" s="135">
        <v>11</v>
      </c>
      <c r="Z126" s="39">
        <v>16.896728515625</v>
      </c>
      <c r="AA126" s="39">
        <v>98.103271484375</v>
      </c>
      <c r="AB126" s="135">
        <v>9</v>
      </c>
      <c r="AC126" s="135">
        <v>0</v>
      </c>
      <c r="AD126" s="135">
        <v>99</v>
      </c>
      <c r="AE126" s="135"/>
      <c r="AF126" s="39"/>
    </row>
    <row r="127" spans="1:32" s="12" customFormat="1" ht="16.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11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3.3077731092434988</v>
      </c>
      <c r="E127" s="129">
        <f>B126</f>
        <v>1345.3077731092435</v>
      </c>
      <c r="F127" s="81"/>
      <c r="G127" s="81"/>
      <c r="H127" s="81"/>
      <c r="I127" s="81"/>
      <c r="J127" s="81"/>
      <c r="K127" s="81"/>
      <c r="L127" s="81"/>
      <c r="M127" s="79"/>
      <c r="N127" s="141"/>
      <c r="O127" s="141"/>
      <c r="P127" s="141"/>
      <c r="Q127" s="141"/>
      <c r="R127" s="141"/>
      <c r="S127" s="141"/>
      <c r="T127" s="183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9.1825604208625595</v>
      </c>
      <c r="F128" s="82"/>
      <c r="G128" s="79"/>
      <c r="H128" s="79"/>
      <c r="I128" s="79"/>
      <c r="J128" s="79"/>
      <c r="K128" s="79"/>
      <c r="L128" s="83"/>
      <c r="M128" s="81"/>
      <c r="N128" s="184"/>
      <c r="O128" s="184"/>
      <c r="P128" s="141"/>
      <c r="Q128" s="141"/>
      <c r="R128" s="141"/>
      <c r="S128" s="141"/>
      <c r="T128" s="183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" x14ac:dyDescent="0.35">
      <c r="A129" s="60">
        <f>Лист1!L$3</f>
        <v>10</v>
      </c>
      <c r="B129" s="13">
        <f>Лист1!L$5</f>
        <v>1416.113445378151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7.7192576438648688</v>
      </c>
      <c r="D129" s="15">
        <f>C129-E129</f>
        <v>0.84738973697093822</v>
      </c>
      <c r="E129" s="32">
        <f>IF(D130 &gt; $D$110,D130/$B129*100,0)</f>
        <v>6.8718679068939306</v>
      </c>
      <c r="F129" s="78">
        <v>119.2014668782552</v>
      </c>
      <c r="G129" s="79">
        <v>119.2014668782552</v>
      </c>
      <c r="H129" s="79">
        <v>119.2014668782552</v>
      </c>
      <c r="I129" s="79">
        <v>119.2014668782552</v>
      </c>
      <c r="J129" s="79">
        <v>119.2014668782552</v>
      </c>
      <c r="K129" s="79">
        <v>119.2014668782552</v>
      </c>
      <c r="L129" s="79">
        <v>119.2014668782552</v>
      </c>
      <c r="M129" s="79">
        <v>119.2014668782552</v>
      </c>
      <c r="N129" s="141">
        <v>119.2014668782552</v>
      </c>
      <c r="O129" s="141">
        <v>119.2014668782552</v>
      </c>
      <c r="P129" s="141">
        <v>119.2014668782552</v>
      </c>
      <c r="Q129" s="141">
        <v>119.2014668782552</v>
      </c>
      <c r="R129" s="141"/>
      <c r="S129" s="141"/>
      <c r="T129" s="183"/>
      <c r="U129" s="102"/>
      <c r="V129" s="41" t="s">
        <v>70</v>
      </c>
      <c r="W129" s="17">
        <f>SUM(F129:T129)</f>
        <v>1430.4176025390623</v>
      </c>
      <c r="X129" s="135">
        <v>118</v>
      </c>
      <c r="Y129" s="135">
        <v>11</v>
      </c>
      <c r="Z129" s="39">
        <v>88.4176025390625</v>
      </c>
      <c r="AA129" s="39">
        <v>26.5823974609375</v>
      </c>
      <c r="AB129" s="135">
        <v>3</v>
      </c>
      <c r="AC129" s="135">
        <v>0</v>
      </c>
      <c r="AD129" s="135">
        <v>99</v>
      </c>
      <c r="AE129" s="135"/>
      <c r="AF129" s="39"/>
    </row>
    <row r="130" spans="1:32" s="12" customFormat="1" ht="18" hidden="1" customHeight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12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97.313445378151073</v>
      </c>
      <c r="E130" s="129">
        <f>B129</f>
        <v>1416.113445378151</v>
      </c>
      <c r="F130" s="81"/>
      <c r="G130" s="81"/>
      <c r="H130" s="81"/>
      <c r="I130" s="81"/>
      <c r="J130" s="81"/>
      <c r="K130" s="81"/>
      <c r="L130" s="81"/>
      <c r="M130" s="79"/>
      <c r="N130" s="141"/>
      <c r="O130" s="141"/>
      <c r="P130" s="141"/>
      <c r="Q130" s="141"/>
      <c r="R130" s="141"/>
      <c r="S130" s="141"/>
      <c r="T130" s="183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9.6702027918605449</v>
      </c>
      <c r="F131" s="82"/>
      <c r="G131" s="79"/>
      <c r="H131" s="79"/>
      <c r="I131" s="79"/>
      <c r="J131" s="79"/>
      <c r="K131" s="79"/>
      <c r="L131" s="83"/>
      <c r="M131" s="81"/>
      <c r="N131" s="184"/>
      <c r="O131" s="184"/>
      <c r="P131" s="141"/>
      <c r="Q131" s="141"/>
      <c r="R131" s="141"/>
      <c r="S131" s="141"/>
      <c r="T131" s="183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" x14ac:dyDescent="0.35">
      <c r="A132" s="60">
        <f>Лист1!M$3</f>
        <v>10.5</v>
      </c>
      <c r="B132" s="13">
        <f>Лист1!M$5</f>
        <v>1486.9191176470588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4.7897102674796326</v>
      </c>
      <c r="D132" s="15">
        <f>C132-E132</f>
        <v>0.87429099846207814</v>
      </c>
      <c r="E132" s="32">
        <f>IF(D133 &gt; $D$110,D133/$B132*100,0)</f>
        <v>3.9154192690175544</v>
      </c>
      <c r="F132" s="78">
        <v>115.53372896634616</v>
      </c>
      <c r="G132" s="79">
        <v>115.53372896634616</v>
      </c>
      <c r="H132" s="79">
        <v>115.53372896634616</v>
      </c>
      <c r="I132" s="79">
        <v>115.53372896634616</v>
      </c>
      <c r="J132" s="79">
        <v>115.53372896634616</v>
      </c>
      <c r="K132" s="79">
        <v>115.53372896634616</v>
      </c>
      <c r="L132" s="79">
        <v>115.53372896634616</v>
      </c>
      <c r="M132" s="79">
        <v>115.53372896634616</v>
      </c>
      <c r="N132" s="141">
        <v>115.53372896634616</v>
      </c>
      <c r="O132" s="141">
        <v>115.53372896634616</v>
      </c>
      <c r="P132" s="141">
        <v>115.53372896634616</v>
      </c>
      <c r="Q132" s="141">
        <v>115.53372896634616</v>
      </c>
      <c r="R132" s="141">
        <v>115.53372896634616</v>
      </c>
      <c r="S132" s="141"/>
      <c r="T132" s="183"/>
      <c r="U132" s="102"/>
      <c r="V132" s="41" t="s">
        <v>70</v>
      </c>
      <c r="W132" s="17">
        <f>SUM(F132:T132)</f>
        <v>1501.9384765625002</v>
      </c>
      <c r="X132" s="135">
        <v>124</v>
      </c>
      <c r="Y132" s="135">
        <v>12</v>
      </c>
      <c r="Z132" s="39">
        <v>37.9384765625</v>
      </c>
      <c r="AA132" s="39">
        <v>77.0615234375</v>
      </c>
      <c r="AB132" s="135">
        <v>7</v>
      </c>
      <c r="AC132" s="135">
        <v>0</v>
      </c>
      <c r="AD132" s="135">
        <v>99</v>
      </c>
      <c r="AE132" s="135"/>
      <c r="AF132" s="39"/>
    </row>
    <row r="133" spans="1:32" s="12" customFormat="1" ht="18" hidden="1" customHeight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13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58.219117647058738</v>
      </c>
      <c r="E133" s="129">
        <f>B132</f>
        <v>1486.9191176470588</v>
      </c>
      <c r="F133" s="81"/>
      <c r="G133" s="81"/>
      <c r="H133" s="81"/>
      <c r="I133" s="81"/>
      <c r="J133" s="81"/>
      <c r="K133" s="81"/>
      <c r="L133" s="81"/>
      <c r="M133" s="79"/>
      <c r="N133" s="141"/>
      <c r="O133" s="141"/>
      <c r="P133" s="141"/>
      <c r="Q133" s="141"/>
      <c r="R133" s="141"/>
      <c r="S133" s="141"/>
      <c r="T133" s="183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9.3701151789387094</v>
      </c>
      <c r="F134" s="82"/>
      <c r="G134" s="79"/>
      <c r="H134" s="79"/>
      <c r="I134" s="79"/>
      <c r="J134" s="79"/>
      <c r="K134" s="79"/>
      <c r="L134" s="79"/>
      <c r="M134" s="81"/>
      <c r="N134" s="184"/>
      <c r="O134" s="184"/>
      <c r="P134" s="141"/>
      <c r="Q134" s="141"/>
      <c r="R134" s="141"/>
      <c r="S134" s="141"/>
      <c r="T134" s="183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" x14ac:dyDescent="0.35">
      <c r="A135" s="60">
        <f>Лист1!N$3</f>
        <v>11</v>
      </c>
      <c r="B135" s="13">
        <f>Лист1!N$5</f>
        <v>1557.7247899159663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9.1174507098669206</v>
      </c>
      <c r="D135" s="15">
        <f>C135-E135</f>
        <v>0.8345504985319856</v>
      </c>
      <c r="E135" s="32">
        <f>IF(D136 &gt; $D$110,D136/$B135*100,0)</f>
        <v>8.282900211334935</v>
      </c>
      <c r="F135" s="78">
        <v>121.03533466045673</v>
      </c>
      <c r="G135" s="79">
        <v>121.03533466045673</v>
      </c>
      <c r="H135" s="79">
        <v>121.03533466045673</v>
      </c>
      <c r="I135" s="79">
        <v>121.03533466045673</v>
      </c>
      <c r="J135" s="79">
        <v>121.03533466045673</v>
      </c>
      <c r="K135" s="79">
        <v>121.03533466045673</v>
      </c>
      <c r="L135" s="79">
        <v>121.03533466045673</v>
      </c>
      <c r="M135" s="79">
        <v>121.03533466045673</v>
      </c>
      <c r="N135" s="141">
        <v>121.03533466045673</v>
      </c>
      <c r="O135" s="141">
        <v>121.03533466045673</v>
      </c>
      <c r="P135" s="141">
        <v>121.03533466045673</v>
      </c>
      <c r="Q135" s="141">
        <v>121.03533466045673</v>
      </c>
      <c r="R135" s="141">
        <v>121.03533466045673</v>
      </c>
      <c r="S135" s="141"/>
      <c r="T135" s="183"/>
      <c r="U135" s="102"/>
      <c r="V135" s="41" t="s">
        <v>70</v>
      </c>
      <c r="W135" s="17">
        <f>SUM(F135:T135)</f>
        <v>1573.459350585938</v>
      </c>
      <c r="X135" s="135">
        <v>130</v>
      </c>
      <c r="Y135" s="135">
        <v>12</v>
      </c>
      <c r="Z135" s="39">
        <v>109.4593505859375</v>
      </c>
      <c r="AA135" s="39">
        <v>5.5406494140625</v>
      </c>
      <c r="AB135" s="135">
        <v>1</v>
      </c>
      <c r="AC135" s="135">
        <v>0</v>
      </c>
      <c r="AD135" s="135">
        <v>99</v>
      </c>
      <c r="AE135" s="135"/>
      <c r="AF135" s="39"/>
    </row>
    <row r="136" spans="1:32" s="12" customFormat="1" ht="18" hidden="1" customHeight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13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129.02478991596627</v>
      </c>
      <c r="E136" s="129">
        <f>B135</f>
        <v>1557.7247899159663</v>
      </c>
      <c r="F136" s="81"/>
      <c r="G136" s="81"/>
      <c r="H136" s="81"/>
      <c r="I136" s="81"/>
      <c r="J136" s="81"/>
      <c r="K136" s="81"/>
      <c r="L136" s="81"/>
      <c r="M136" s="79"/>
      <c r="N136" s="141"/>
      <c r="O136" s="141"/>
      <c r="P136" s="141"/>
      <c r="Q136" s="141"/>
      <c r="R136" s="141"/>
      <c r="S136" s="141"/>
      <c r="T136" s="183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9.8202465983214644</v>
      </c>
      <c r="F137" s="82"/>
      <c r="G137" s="79"/>
      <c r="H137" s="79"/>
      <c r="I137" s="79"/>
      <c r="J137" s="79"/>
      <c r="K137" s="79"/>
      <c r="L137" s="79"/>
      <c r="M137" s="81"/>
      <c r="N137" s="184"/>
      <c r="O137" s="184"/>
      <c r="P137" s="141"/>
      <c r="Q137" s="141"/>
      <c r="R137" s="141"/>
      <c r="S137" s="141"/>
      <c r="T137" s="183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" x14ac:dyDescent="0.35">
      <c r="A138" s="60">
        <f>Лист1!O$3</f>
        <v>11.2</v>
      </c>
      <c r="B138" s="13">
        <f>Лист1!O$5</f>
        <v>1586.0470588235291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0.82261486195794009</v>
      </c>
      <c r="D138" s="15">
        <f>C138-E138</f>
        <v>0.82261486195794009</v>
      </c>
      <c r="E138" s="32">
        <f>IF(D139 &gt; $D$110,D139/$B138*100,0)</f>
        <v>0</v>
      </c>
      <c r="F138" s="78">
        <v>123.23598069411058</v>
      </c>
      <c r="G138" s="79">
        <v>123.23598069411058</v>
      </c>
      <c r="H138" s="79">
        <v>123.23598069411058</v>
      </c>
      <c r="I138" s="79">
        <v>123.23598069411058</v>
      </c>
      <c r="J138" s="79">
        <v>123.23598069411058</v>
      </c>
      <c r="K138" s="79">
        <v>123.23598069411058</v>
      </c>
      <c r="L138" s="79">
        <v>123.23598069411058</v>
      </c>
      <c r="M138" s="79">
        <v>123.23598069411058</v>
      </c>
      <c r="N138" s="141">
        <v>123.23598069411058</v>
      </c>
      <c r="O138" s="141">
        <v>123.23598069411058</v>
      </c>
      <c r="P138" s="141">
        <v>123.23598069411058</v>
      </c>
      <c r="Q138" s="141">
        <v>123.23598069411058</v>
      </c>
      <c r="R138" s="141">
        <v>123.23598069411058</v>
      </c>
      <c r="S138" s="141"/>
      <c r="T138" s="183"/>
      <c r="U138" s="102"/>
      <c r="V138" s="41" t="s">
        <v>70</v>
      </c>
      <c r="W138" s="17">
        <f>SUM(F138:T138)</f>
        <v>1602.0677490234375</v>
      </c>
      <c r="X138" s="135">
        <v>132</v>
      </c>
      <c r="Y138" s="135">
        <v>13</v>
      </c>
      <c r="Z138" s="39">
        <v>16.0677490234375</v>
      </c>
      <c r="AA138" s="39">
        <v>98.9322509765625</v>
      </c>
      <c r="AB138" s="135">
        <v>9</v>
      </c>
      <c r="AC138" s="135">
        <v>0</v>
      </c>
      <c r="AD138" s="135">
        <v>99</v>
      </c>
      <c r="AE138" s="135"/>
      <c r="AF138" s="39"/>
    </row>
    <row r="139" spans="1:32" s="12" customFormat="1" ht="18" hidden="1" customHeight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13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4.7058823529141591E-2</v>
      </c>
      <c r="E139" s="129">
        <f>B138</f>
        <v>1586.0470588235291</v>
      </c>
      <c r="F139" s="81"/>
      <c r="G139" s="81"/>
      <c r="H139" s="81"/>
      <c r="I139" s="81"/>
      <c r="J139" s="81"/>
      <c r="K139" s="81"/>
      <c r="L139" s="81"/>
      <c r="M139" s="79"/>
      <c r="N139" s="141"/>
      <c r="O139" s="141"/>
      <c r="P139" s="141"/>
      <c r="Q139" s="141"/>
      <c r="R139" s="141"/>
      <c r="S139" s="141"/>
      <c r="T139" s="183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10.000299166074566</v>
      </c>
      <c r="F140" s="82"/>
      <c r="G140" s="79"/>
      <c r="H140" s="79"/>
      <c r="I140" s="79"/>
      <c r="J140" s="79"/>
      <c r="K140" s="79"/>
      <c r="L140" s="79"/>
      <c r="M140" s="81"/>
      <c r="N140" s="184"/>
      <c r="O140" s="184"/>
      <c r="P140" s="141"/>
      <c r="Q140" s="141"/>
      <c r="R140" s="141"/>
      <c r="S140" s="141"/>
      <c r="T140" s="183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" x14ac:dyDescent="0.35">
      <c r="A141" s="60">
        <f>Лист1!P$3</f>
        <v>11.4</v>
      </c>
      <c r="B141" s="13">
        <f>Лист1!P$5</f>
        <v>1614.3693277310924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5.5606437875810233</v>
      </c>
      <c r="D141" s="15">
        <f>C141-E141</f>
        <v>0.86721171912230499</v>
      </c>
      <c r="E141" s="32">
        <f>IF(D142 &gt; $D$110,D142/$B141*100,0)</f>
        <v>4.6934320684587183</v>
      </c>
      <c r="F141" s="78">
        <v>116.47686767578125</v>
      </c>
      <c r="G141" s="79">
        <v>116.47686767578125</v>
      </c>
      <c r="H141" s="79">
        <v>116.47686767578125</v>
      </c>
      <c r="I141" s="79">
        <v>116.47686767578125</v>
      </c>
      <c r="J141" s="79">
        <v>116.47686767578125</v>
      </c>
      <c r="K141" s="79">
        <v>116.47686767578125</v>
      </c>
      <c r="L141" s="79">
        <v>116.47686767578125</v>
      </c>
      <c r="M141" s="79">
        <v>116.47686767578125</v>
      </c>
      <c r="N141" s="141">
        <v>116.47686767578125</v>
      </c>
      <c r="O141" s="141">
        <v>116.47686767578125</v>
      </c>
      <c r="P141" s="141">
        <v>116.47686767578125</v>
      </c>
      <c r="Q141" s="141">
        <v>116.47686767578125</v>
      </c>
      <c r="R141" s="141">
        <v>116.47686767578125</v>
      </c>
      <c r="S141" s="141">
        <v>116.47686767578125</v>
      </c>
      <c r="T141" s="183"/>
      <c r="U141" s="102"/>
      <c r="V141" s="41" t="s">
        <v>70</v>
      </c>
      <c r="W141" s="17">
        <f>SUM(F141:T141)</f>
        <v>1630.6761474609375</v>
      </c>
      <c r="X141" s="135">
        <v>134</v>
      </c>
      <c r="Y141" s="135">
        <v>13</v>
      </c>
      <c r="Z141" s="39">
        <v>44.6761474609375</v>
      </c>
      <c r="AA141" s="39">
        <v>70.3238525390625</v>
      </c>
      <c r="AB141" s="135">
        <v>6</v>
      </c>
      <c r="AC141" s="135">
        <v>0</v>
      </c>
      <c r="AD141" s="135">
        <v>99</v>
      </c>
      <c r="AE141" s="135"/>
      <c r="AF141" s="39"/>
    </row>
    <row r="142" spans="1:32" s="12" customFormat="1" ht="18" hidden="1" customHeight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14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75.769327731092517</v>
      </c>
      <c r="E142" s="129">
        <f>B141</f>
        <v>1614.3693277310924</v>
      </c>
      <c r="F142" s="81"/>
      <c r="G142" s="81"/>
      <c r="H142" s="81"/>
      <c r="I142" s="81"/>
      <c r="J142" s="81"/>
      <c r="K142" s="81"/>
      <c r="L142" s="81"/>
      <c r="M142" s="79"/>
      <c r="N142" s="141"/>
      <c r="O142" s="141"/>
      <c r="P142" s="141"/>
      <c r="Q142" s="141"/>
      <c r="R142" s="141"/>
      <c r="S142" s="141"/>
      <c r="T142" s="183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9.4472805651186107</v>
      </c>
      <c r="F143" s="82"/>
      <c r="G143" s="79"/>
      <c r="H143" s="79"/>
      <c r="I143" s="79"/>
      <c r="J143" s="79"/>
      <c r="K143" s="79"/>
      <c r="L143" s="79"/>
      <c r="M143" s="81"/>
      <c r="N143" s="184"/>
      <c r="O143" s="184"/>
      <c r="P143" s="141"/>
      <c r="Q143" s="141"/>
      <c r="R143" s="141"/>
      <c r="S143" s="141"/>
      <c r="T143" s="183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" x14ac:dyDescent="0.35">
      <c r="A144" s="60">
        <f>Лист1!Q$3</f>
        <v>11.6</v>
      </c>
      <c r="B144" s="27">
        <f>Лист1!Q$5</f>
        <v>1642.6915966386553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7.1889085498640979</v>
      </c>
      <c r="D144" s="15">
        <f>C144-E144</f>
        <v>0.85225979293054177</v>
      </c>
      <c r="E144" s="32">
        <f>IF(D145 &gt; $D$110,D145/$B144*100,0)</f>
        <v>6.3366487569335561</v>
      </c>
      <c r="F144" s="85">
        <v>118.52031598772321</v>
      </c>
      <c r="G144" s="82">
        <v>118.52031598772321</v>
      </c>
      <c r="H144" s="82">
        <v>118.52031598772321</v>
      </c>
      <c r="I144" s="82">
        <v>118.52031598772321</v>
      </c>
      <c r="J144" s="82">
        <v>118.52031598772321</v>
      </c>
      <c r="K144" s="82">
        <v>118.52031598772321</v>
      </c>
      <c r="L144" s="82">
        <v>118.52031598772321</v>
      </c>
      <c r="M144" s="82">
        <v>118.52031598772321</v>
      </c>
      <c r="N144" s="174">
        <v>118.52031598772321</v>
      </c>
      <c r="O144" s="174">
        <v>118.52031598772321</v>
      </c>
      <c r="P144" s="174">
        <v>118.52031598772321</v>
      </c>
      <c r="Q144" s="174">
        <v>118.52031598772321</v>
      </c>
      <c r="R144" s="174">
        <v>118.52031598772321</v>
      </c>
      <c r="S144" s="174">
        <v>118.52031598772321</v>
      </c>
      <c r="T144" s="185"/>
      <c r="U144" s="102"/>
      <c r="V144" s="171" t="s">
        <v>70</v>
      </c>
      <c r="W144" s="28">
        <f>SUM(F144:T144)</f>
        <v>1659.2844238281252</v>
      </c>
      <c r="X144" s="135">
        <v>137</v>
      </c>
      <c r="Y144" s="135">
        <v>13</v>
      </c>
      <c r="Z144" s="39">
        <v>73.284423828125</v>
      </c>
      <c r="AA144" s="39">
        <v>41.715576171875</v>
      </c>
      <c r="AB144" s="135">
        <v>4</v>
      </c>
      <c r="AC144" s="135">
        <v>0</v>
      </c>
      <c r="AD144" s="135">
        <v>99</v>
      </c>
      <c r="AE144" s="135"/>
      <c r="AF144" s="39"/>
    </row>
    <row r="145" spans="1:32" s="12" customFormat="1" ht="18" hidden="1" customHeight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14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104.09159663865535</v>
      </c>
      <c r="E145" s="129">
        <f>B144</f>
        <v>1642.6915966386553</v>
      </c>
      <c r="F145" s="81"/>
      <c r="G145" s="81"/>
      <c r="H145" s="81"/>
      <c r="I145" s="81"/>
      <c r="J145" s="81"/>
      <c r="K145" s="81"/>
      <c r="L145" s="81"/>
      <c r="M145" s="79"/>
      <c r="N145" s="141"/>
      <c r="O145" s="141"/>
      <c r="P145" s="141"/>
      <c r="Q145" s="141"/>
      <c r="R145" s="141"/>
      <c r="S145" s="141"/>
      <c r="T145" s="183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9.6144722351750609</v>
      </c>
      <c r="F146" s="82"/>
      <c r="G146" s="79"/>
      <c r="H146" s="79"/>
      <c r="I146" s="79"/>
      <c r="J146" s="79"/>
      <c r="K146" s="79"/>
      <c r="L146" s="79"/>
      <c r="M146" s="81"/>
      <c r="N146" s="184"/>
      <c r="O146" s="184"/>
      <c r="P146" s="141"/>
      <c r="Q146" s="141"/>
      <c r="R146" s="141"/>
      <c r="S146" s="141"/>
      <c r="T146" s="183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" x14ac:dyDescent="0.35">
      <c r="A147" s="60">
        <f>Лист1!R$3</f>
        <v>11.8</v>
      </c>
      <c r="B147" s="13">
        <f>Лист1!R$5</f>
        <v>1671.0138655462185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8.7619778964765853</v>
      </c>
      <c r="D147" s="15">
        <f>C147-E147</f>
        <v>0.83781471169442945</v>
      </c>
      <c r="E147" s="32">
        <f>IF(D148 &gt; $D$110,D148/$B147*100,0)</f>
        <v>7.9241631847821559</v>
      </c>
      <c r="F147" s="78">
        <v>120.56377301897321</v>
      </c>
      <c r="G147" s="79">
        <v>120.56377301897321</v>
      </c>
      <c r="H147" s="79">
        <v>120.56377301897321</v>
      </c>
      <c r="I147" s="79">
        <v>120.56377301897321</v>
      </c>
      <c r="J147" s="79">
        <v>120.56377301897321</v>
      </c>
      <c r="K147" s="79">
        <v>120.56377301897321</v>
      </c>
      <c r="L147" s="79">
        <v>120.56377301897321</v>
      </c>
      <c r="M147" s="79">
        <v>120.56377301897321</v>
      </c>
      <c r="N147" s="141">
        <v>120.56377301897321</v>
      </c>
      <c r="O147" s="141">
        <v>120.56377301897321</v>
      </c>
      <c r="P147" s="141">
        <v>120.56377301897321</v>
      </c>
      <c r="Q147" s="141">
        <v>120.56377301897321</v>
      </c>
      <c r="R147" s="141">
        <v>120.56377301897321</v>
      </c>
      <c r="S147" s="141">
        <v>120.56377301897321</v>
      </c>
      <c r="T147" s="183"/>
      <c r="U147" s="102"/>
      <c r="V147" s="41" t="s">
        <v>70</v>
      </c>
      <c r="W147" s="17">
        <f>SUM(F147:T147)</f>
        <v>1687.8928222656252</v>
      </c>
      <c r="X147" s="135">
        <v>139</v>
      </c>
      <c r="Y147" s="135">
        <v>13</v>
      </c>
      <c r="Z147" s="39">
        <v>101.892822265625</v>
      </c>
      <c r="AA147" s="39">
        <v>13.107177734375</v>
      </c>
      <c r="AB147" s="135">
        <v>2</v>
      </c>
      <c r="AC147" s="135">
        <v>0</v>
      </c>
      <c r="AD147" s="135">
        <v>99</v>
      </c>
      <c r="AE147" s="135"/>
      <c r="AF147" s="39"/>
    </row>
    <row r="148" spans="1:32" s="12" customFormat="1" ht="18" hidden="1" customHeight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14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132.41386554621863</v>
      </c>
      <c r="E148" s="129">
        <f>B147</f>
        <v>1671.0138655462185</v>
      </c>
      <c r="F148" s="81"/>
      <c r="G148" s="81"/>
      <c r="H148" s="81"/>
      <c r="I148" s="81"/>
      <c r="J148" s="81"/>
      <c r="K148" s="81"/>
      <c r="L148" s="81"/>
      <c r="M148" s="81"/>
      <c r="N148" s="141"/>
      <c r="O148" s="141"/>
      <c r="P148" s="141"/>
      <c r="Q148" s="141"/>
      <c r="R148" s="141"/>
      <c r="S148" s="141"/>
      <c r="T148" s="183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9.7816639052315146</v>
      </c>
      <c r="F149" s="82"/>
      <c r="G149" s="79"/>
      <c r="H149" s="79"/>
      <c r="I149" s="79"/>
      <c r="J149" s="79"/>
      <c r="K149" s="79"/>
      <c r="L149" s="79"/>
      <c r="M149" s="79"/>
      <c r="N149" s="184"/>
      <c r="O149" s="184"/>
      <c r="P149" s="141"/>
      <c r="Q149" s="141"/>
      <c r="R149" s="141"/>
      <c r="S149" s="141"/>
      <c r="T149" s="183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" x14ac:dyDescent="0.35">
      <c r="A150" s="60">
        <f>Лист1!S$3</f>
        <v>12</v>
      </c>
      <c r="B150" s="13">
        <f>Лист1!S$5</f>
        <v>1699.3361344537814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0.31401288689106621</v>
      </c>
      <c r="D150" s="15">
        <f>C150-E150</f>
        <v>0.31401288689106621</v>
      </c>
      <c r="E150" s="32">
        <f>IF(D151 &gt; $D$110,D151/$B150*100,0)</f>
        <v>0</v>
      </c>
      <c r="F150" s="87">
        <v>122.60722133091518</v>
      </c>
      <c r="G150" s="88">
        <v>122.60722133091518</v>
      </c>
      <c r="H150" s="88">
        <v>122.60722133091518</v>
      </c>
      <c r="I150" s="88">
        <v>122.60722133091518</v>
      </c>
      <c r="J150" s="88">
        <v>122.60722133091518</v>
      </c>
      <c r="K150" s="88">
        <v>122.60722133091518</v>
      </c>
      <c r="L150" s="88">
        <v>122.60722133091518</v>
      </c>
      <c r="M150" s="88">
        <v>122.60722133091518</v>
      </c>
      <c r="N150" s="168">
        <v>122.60722133091518</v>
      </c>
      <c r="O150" s="168">
        <v>122.60722133091518</v>
      </c>
      <c r="P150" s="168">
        <v>122.60722133091518</v>
      </c>
      <c r="Q150" s="168">
        <v>122.60722133091518</v>
      </c>
      <c r="R150" s="168">
        <v>122.60722133091518</v>
      </c>
      <c r="S150" s="168">
        <v>122.60722133091518</v>
      </c>
      <c r="T150" s="186"/>
      <c r="U150" s="102"/>
      <c r="V150" s="41" t="s">
        <v>70</v>
      </c>
      <c r="W150" s="17">
        <f>SUM(F150:T150)</f>
        <v>1716.501098632812</v>
      </c>
      <c r="X150" s="135">
        <v>141</v>
      </c>
      <c r="Y150" s="135">
        <v>14</v>
      </c>
      <c r="Z150" s="39">
        <v>8.5010986328125</v>
      </c>
      <c r="AA150" s="141">
        <v>106.4989013671875</v>
      </c>
      <c r="AB150" s="135">
        <v>9</v>
      </c>
      <c r="AC150" s="135">
        <v>0</v>
      </c>
      <c r="AD150" s="135">
        <v>99</v>
      </c>
      <c r="AE150" s="135"/>
      <c r="AF150" s="39"/>
    </row>
    <row r="151" spans="1:32" s="12" customFormat="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14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-8.6638655462186307</v>
      </c>
      <c r="E151" s="129">
        <f>B150</f>
        <v>1699.3361344537814</v>
      </c>
      <c r="F151" s="20">
        <f>C151-F150</f>
        <v>-108.60722133091518</v>
      </c>
      <c r="G151" s="26">
        <f t="shared" ref="G151:M151" si="11">F151-G150</f>
        <v>-231.21444266183036</v>
      </c>
      <c r="H151" s="26">
        <f t="shared" si="11"/>
        <v>-353.82166399274553</v>
      </c>
      <c r="I151" s="26">
        <f t="shared" si="11"/>
        <v>-476.42888532366072</v>
      </c>
      <c r="J151" s="26">
        <f t="shared" si="11"/>
        <v>-599.03610665457586</v>
      </c>
      <c r="K151" s="26">
        <f t="shared" si="11"/>
        <v>-721.64332798549106</v>
      </c>
      <c r="L151" s="26">
        <f t="shared" si="11"/>
        <v>-844.25054931640625</v>
      </c>
      <c r="M151" s="26">
        <f t="shared" si="11"/>
        <v>-966.85777064732144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9.9488555752879648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4.6187516220657914</v>
      </c>
      <c r="D153" s="31">
        <f>AVERAGE(D111,D114,D117,D120,D123,D126,D129,D132,D135,D138,D141,D144,D147,D150,)</f>
        <v>0.73669609505455758</v>
      </c>
      <c r="E153" s="31">
        <f>AVERAGE(E111,E114,E117,E120,E123,E126,E129,E132,E135,E138,E141,E144,E147,E150,)</f>
        <v>3.8820555270112349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54">
    <mergeCell ref="M109:M110"/>
    <mergeCell ref="N109:N110"/>
    <mergeCell ref="O109:O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N9:N10"/>
    <mergeCell ref="O9:O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N59:N60"/>
    <mergeCell ref="O59:O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  <mergeCell ref="P9:P10"/>
    <mergeCell ref="Q9:Q10"/>
    <mergeCell ref="R9:R10"/>
    <mergeCell ref="T9:T10"/>
    <mergeCell ref="S9:S10"/>
    <mergeCell ref="P59:P60"/>
    <mergeCell ref="Q59:Q60"/>
    <mergeCell ref="R59:R60"/>
    <mergeCell ref="S59:S60"/>
    <mergeCell ref="T59:T60"/>
    <mergeCell ref="P109:P110"/>
    <mergeCell ref="Q109:Q110"/>
    <mergeCell ref="R109:R110"/>
    <mergeCell ref="S109:S110"/>
    <mergeCell ref="T109:T110"/>
  </mergeCells>
  <pageMargins left="1.1023622047244095" right="0.11811023622047245" top="0.27559055118110237" bottom="0.19685039370078741" header="0.31496062992125984" footer="0.31496062992125984"/>
  <pageSetup paperSize="8" scale="9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AI153"/>
  <sheetViews>
    <sheetView topLeftCell="A10" zoomScaleNormal="100" workbookViewId="0">
      <selection activeCell="K11" sqref="K11"/>
    </sheetView>
  </sheetViews>
  <sheetFormatPr defaultColWidth="8.88671875" defaultRowHeight="15.6" x14ac:dyDescent="0.3"/>
  <cols>
    <col min="1" max="5" width="8.88671875" style="12"/>
    <col min="6" max="15" width="7.6640625" style="12" customWidth="1"/>
    <col min="16" max="16" width="2.6640625" style="12" customWidth="1"/>
    <col min="17" max="21" width="7.6640625" style="12" hidden="1" customWidth="1"/>
    <col min="22" max="22" width="5.77734375" style="102" customWidth="1"/>
    <col min="23" max="23" width="8.332031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3"/>
      <c r="P7" s="153"/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2"/>
      <c r="P8" s="93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210">
        <v>9</v>
      </c>
      <c r="O9" s="210">
        <v>10</v>
      </c>
      <c r="P9" s="154"/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211"/>
      <c r="O10" s="211"/>
      <c r="P10" s="104"/>
      <c r="Q10" s="104"/>
      <c r="R10" s="104"/>
      <c r="S10" s="104"/>
      <c r="T10" s="104"/>
      <c r="U10" s="104"/>
      <c r="V10" s="20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13">
        <f>Лист1!F$6</f>
        <v>688.37387267904501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1.5651193496224272</v>
      </c>
      <c r="D11" s="15">
        <f>C11-E11</f>
        <v>1.5651193496224272</v>
      </c>
      <c r="E11" s="32">
        <f>IF(D12 &gt; $D$10,D12/$B11*100,0)</f>
        <v>0</v>
      </c>
      <c r="F11" s="78">
        <v>122</v>
      </c>
      <c r="G11" s="79">
        <v>122</v>
      </c>
      <c r="H11" s="79">
        <v>122</v>
      </c>
      <c r="I11" s="79">
        <v>122</v>
      </c>
      <c r="J11" s="79">
        <v>122</v>
      </c>
      <c r="K11" s="79">
        <v>85.3271484375</v>
      </c>
      <c r="L11" s="79"/>
      <c r="M11" s="79"/>
      <c r="N11" s="179"/>
      <c r="O11" s="180"/>
      <c r="P11" s="104"/>
      <c r="Q11" s="104"/>
      <c r="R11" s="104"/>
      <c r="S11" s="104"/>
      <c r="T11" s="104"/>
      <c r="U11" s="104"/>
      <c r="W11" s="17">
        <f>SUM(F11:T11)</f>
        <v>695.3271484375</v>
      </c>
      <c r="X11" s="96">
        <v>57</v>
      </c>
      <c r="Y11" s="96">
        <v>5</v>
      </c>
      <c r="Z11" s="39">
        <v>85.3271484375</v>
      </c>
      <c r="AA11" s="97"/>
    </row>
    <row r="12" spans="1:35" ht="16.95" hidden="1" x14ac:dyDescent="0.3">
      <c r="A12" s="58"/>
      <c r="B12" s="167"/>
      <c r="C12" s="19">
        <f>$C$8*
(SIGN($F11)+SIGN($G11)+SIGN($H11)+SIGN($I11)
+SIGN($J11)+SIGN($K11)+SIGN($L11)+SIGN($M11)
+SIGN($N11)+SIGN($O11)+SIGN($P11)+SIGN($Q11)
+SIGN($R11)+SIGN($S11)+SIGN($T11)+SIGN($V10))</f>
        <v>7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+ROUNDDOWN(($T11-$C$8)/$C$7,0)+ROUNDDOWN(($V10-$C$8)/$C$7,0))</f>
        <v>-80.926127320954947</v>
      </c>
      <c r="E12" s="129">
        <f>B11</f>
        <v>688.37387267904501</v>
      </c>
      <c r="F12" s="78"/>
      <c r="G12" s="79"/>
      <c r="H12" s="79"/>
      <c r="I12" s="79"/>
      <c r="J12" s="79"/>
      <c r="K12" s="79"/>
      <c r="L12" s="79"/>
      <c r="M12" s="79"/>
      <c r="N12" s="181"/>
      <c r="O12" s="182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95" hidden="1" x14ac:dyDescent="0.3">
      <c r="A13" s="58"/>
      <c r="B13" s="167"/>
      <c r="C13" s="23"/>
      <c r="D13" s="24"/>
      <c r="E13" s="24">
        <f>IF(B11&gt;0,(B11/ROUNDUP(ROUNDUP(((B11-($C$8*ROUNDUP(B11/$H$8,0)))/$C$7),0)/$H$7,0)-$C$8)/$C$7,0-$C$8/$C$7)</f>
        <v>9.3990891553587463</v>
      </c>
      <c r="F13" s="78"/>
      <c r="G13" s="79"/>
      <c r="H13" s="79"/>
      <c r="I13" s="79"/>
      <c r="J13" s="79"/>
      <c r="K13" s="79"/>
      <c r="L13" s="79"/>
      <c r="M13" s="79"/>
      <c r="N13" s="181"/>
      <c r="O13" s="182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13">
        <f>Лист1!G$6</f>
        <v>737.54343501326252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1.5651193496224327</v>
      </c>
      <c r="D14" s="15">
        <f>C14-E14</f>
        <v>0.94909664538931537</v>
      </c>
      <c r="E14" s="32">
        <f t="shared" ref="E14:E50" si="2">IF(D15 &gt; $D$10,D15/$B14*100,0)</f>
        <v>0.61602270423311734</v>
      </c>
      <c r="F14" s="78">
        <v>109.9</v>
      </c>
      <c r="G14" s="79">
        <v>109.9</v>
      </c>
      <c r="H14" s="79">
        <v>109.9</v>
      </c>
      <c r="I14" s="79">
        <v>109.9</v>
      </c>
      <c r="J14" s="79">
        <v>109.9</v>
      </c>
      <c r="K14" s="79">
        <v>109.9</v>
      </c>
      <c r="L14" s="79">
        <v>85.593347167968773</v>
      </c>
      <c r="M14" s="79"/>
      <c r="N14" s="181"/>
      <c r="O14" s="182"/>
      <c r="P14" s="104"/>
      <c r="Q14" s="104"/>
      <c r="R14" s="104"/>
      <c r="S14" s="104"/>
      <c r="T14" s="104"/>
      <c r="U14" s="104"/>
      <c r="V14" s="41"/>
      <c r="W14" s="17">
        <f>SUM(F14:T14)</f>
        <v>744.99334716796875</v>
      </c>
      <c r="X14" s="96">
        <v>61</v>
      </c>
      <c r="Y14" s="96">
        <v>6</v>
      </c>
      <c r="Z14" s="39">
        <v>12.99334716796875</v>
      </c>
      <c r="AA14" s="97">
        <v>42.00665283203125</v>
      </c>
      <c r="AB14" s="135">
        <v>4</v>
      </c>
      <c r="AC14" s="135">
        <v>5</v>
      </c>
      <c r="AD14" s="135">
        <v>2</v>
      </c>
      <c r="AE14" s="135">
        <v>6</v>
      </c>
      <c r="AF14" s="39">
        <v>24.2</v>
      </c>
    </row>
    <row r="15" spans="1:35" ht="16.9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7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4.5434350132625241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81"/>
      <c r="O15" s="182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9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81"/>
      <c r="O16" s="182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13">
        <f>Лист1!H$6</f>
        <v>786.71299734748004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2.7074339460285146E-2</v>
      </c>
      <c r="D17" s="15">
        <f>C17-E17</f>
        <v>2.7074339460285146E-2</v>
      </c>
      <c r="E17" s="32">
        <f t="shared" si="2"/>
        <v>0</v>
      </c>
      <c r="F17" s="78">
        <v>122</v>
      </c>
      <c r="G17" s="79">
        <v>122</v>
      </c>
      <c r="H17" s="79">
        <v>122</v>
      </c>
      <c r="I17" s="79">
        <v>122</v>
      </c>
      <c r="J17" s="79">
        <v>109.9</v>
      </c>
      <c r="K17" s="79">
        <v>109.9</v>
      </c>
      <c r="L17" s="79">
        <v>86.859606933593795</v>
      </c>
      <c r="M17" s="79"/>
      <c r="N17" s="181"/>
      <c r="O17" s="182"/>
      <c r="P17" s="104"/>
      <c r="Q17" s="104"/>
      <c r="R17" s="104"/>
      <c r="S17" s="104"/>
      <c r="T17" s="104"/>
      <c r="U17" s="104"/>
      <c r="V17" s="41"/>
      <c r="W17" s="17">
        <f>SUM(F17:T17)</f>
        <v>794.65960693359375</v>
      </c>
      <c r="X17" s="96">
        <v>65</v>
      </c>
      <c r="Y17" s="96">
        <v>6</v>
      </c>
      <c r="Z17" s="39">
        <v>62.65960693359375</v>
      </c>
      <c r="AA17" s="97"/>
      <c r="AB17" s="135"/>
      <c r="AC17" s="135">
        <v>5</v>
      </c>
      <c r="AD17" s="135">
        <v>1</v>
      </c>
      <c r="AE17" s="135">
        <v>2</v>
      </c>
      <c r="AF17" s="39">
        <v>24.2</v>
      </c>
    </row>
    <row r="18" spans="1:32" s="12" customFormat="1" ht="16.9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7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-6.7870026525199592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81"/>
      <c r="O18" s="182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81"/>
      <c r="O19" s="182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13">
        <f>Лист1!I$6</f>
        <v>835.88255968169756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0.1175475753521807</v>
      </c>
      <c r="D20" s="15">
        <f>C20-E20</f>
        <v>0.1175475753521807</v>
      </c>
      <c r="E20" s="32">
        <f t="shared" si="2"/>
        <v>0</v>
      </c>
      <c r="F20" s="78">
        <v>122</v>
      </c>
      <c r="G20" s="79">
        <v>122</v>
      </c>
      <c r="H20" s="79">
        <v>122</v>
      </c>
      <c r="I20" s="79">
        <v>122</v>
      </c>
      <c r="J20" s="79">
        <v>122</v>
      </c>
      <c r="K20" s="79">
        <v>122</v>
      </c>
      <c r="L20" s="79">
        <v>112.3258056640625</v>
      </c>
      <c r="M20" s="79"/>
      <c r="N20" s="181"/>
      <c r="O20" s="182"/>
      <c r="P20" s="104"/>
      <c r="Q20" s="104"/>
      <c r="R20" s="104"/>
      <c r="S20" s="104"/>
      <c r="T20" s="104"/>
      <c r="U20" s="104"/>
      <c r="V20" s="41"/>
      <c r="W20" s="17">
        <f>SUM(F20:T20)</f>
        <v>844.3258056640625</v>
      </c>
      <c r="X20" s="96">
        <v>69</v>
      </c>
      <c r="Y20" s="96">
        <v>6</v>
      </c>
      <c r="Z20" s="39">
        <v>112.3258056640625</v>
      </c>
      <c r="AA20" s="97"/>
      <c r="AB20" s="135"/>
      <c r="AC20" s="135"/>
      <c r="AD20" s="135"/>
      <c r="AE20" s="135"/>
      <c r="AF20" s="39"/>
    </row>
    <row r="21" spans="1:32" s="12" customFormat="1" ht="16.95" hidden="1" x14ac:dyDescent="0.3">
      <c r="A21" s="58"/>
      <c r="B21" s="166"/>
      <c r="C21" s="19">
        <f>$C$8*
(SIGN($F20)+SIGN($G20)+SIGN($H20)+SIGN($I20)
+SIGN($J20)+SIGN($K20)+SIGN($L20)+SIGN($M20)
+SIGN($N20)+SIGN($O20)+SIGN($P20)+SIGN($Q20)
+SIGN($R20)+SIGN($S20)+SIGN($T20)+SIGN($V20))</f>
        <v>7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-6.0174403183024197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81"/>
      <c r="O21" s="182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166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81"/>
      <c r="O22" s="182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13">
        <f>Лист1!J$6</f>
        <v>885.05212201591507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0.19796822947831011</v>
      </c>
      <c r="D23" s="15">
        <f>C23-E23</f>
        <v>0.19796822947831011</v>
      </c>
      <c r="E23" s="32">
        <f t="shared" si="2"/>
        <v>0</v>
      </c>
      <c r="F23" s="78">
        <v>122</v>
      </c>
      <c r="G23" s="79">
        <v>122</v>
      </c>
      <c r="H23" s="79">
        <v>122</v>
      </c>
      <c r="I23" s="79">
        <v>109.9</v>
      </c>
      <c r="J23" s="79">
        <v>109.9</v>
      </c>
      <c r="K23" s="79">
        <v>109.9</v>
      </c>
      <c r="L23" s="79">
        <v>109.9</v>
      </c>
      <c r="M23" s="79">
        <v>88.392065429687591</v>
      </c>
      <c r="N23" s="155"/>
      <c r="O23" s="189"/>
      <c r="P23" s="38"/>
      <c r="Q23" s="38"/>
      <c r="R23" s="39"/>
      <c r="S23" s="102"/>
      <c r="T23" s="102"/>
      <c r="U23" s="102"/>
      <c r="V23" s="41"/>
      <c r="W23" s="17">
        <f>SUM(F23:T23)</f>
        <v>893.9920654296875</v>
      </c>
      <c r="X23" s="96">
        <v>73</v>
      </c>
      <c r="Y23" s="96">
        <v>7</v>
      </c>
      <c r="Z23" s="39">
        <v>39.9920654296875</v>
      </c>
      <c r="AA23" s="141">
        <v>15.0079345703125</v>
      </c>
      <c r="AB23" s="135">
        <v>2</v>
      </c>
      <c r="AC23" s="135">
        <v>5</v>
      </c>
      <c r="AD23" s="135">
        <v>1</v>
      </c>
      <c r="AE23" s="135">
        <v>4</v>
      </c>
      <c r="AF23" s="39">
        <v>24.2</v>
      </c>
    </row>
    <row r="24" spans="1:32" s="12" customFormat="1" ht="16.9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8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-6.2478779840848802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78"/>
      <c r="O24" s="187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188"/>
      <c r="O25" s="190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13">
        <f>Лист1!K$6</f>
        <v>934.22168435013259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0.26992355159116271</v>
      </c>
      <c r="D26" s="15">
        <f>C26-E26</f>
        <v>0.26992355159116271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122</v>
      </c>
      <c r="L26" s="79">
        <v>122</v>
      </c>
      <c r="M26" s="79">
        <v>89.65826416015625</v>
      </c>
      <c r="N26" s="155"/>
      <c r="O26" s="189"/>
      <c r="P26" s="38"/>
      <c r="Q26" s="38"/>
      <c r="R26" s="39"/>
      <c r="S26" s="102"/>
      <c r="T26" s="102"/>
      <c r="U26" s="102"/>
      <c r="V26" s="41"/>
      <c r="W26" s="17">
        <f>SUM(F26:T26)</f>
        <v>943.65826416015625</v>
      </c>
      <c r="X26" s="96">
        <v>77</v>
      </c>
      <c r="Y26" s="96">
        <v>7</v>
      </c>
      <c r="Z26" s="39">
        <v>89.65826416015625</v>
      </c>
      <c r="AA26" s="141"/>
      <c r="AB26" s="135"/>
      <c r="AC26" s="135"/>
      <c r="AD26" s="135"/>
      <c r="AE26" s="135"/>
      <c r="AF26" s="39"/>
    </row>
    <row r="27" spans="1:32" s="12" customFormat="1" ht="16.9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8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-5.4783156498673407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78"/>
      <c r="O27" s="187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188"/>
      <c r="O28" s="190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13">
        <f>Лист1!L$6</f>
        <v>983.39124668435011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0.3346833414927185</v>
      </c>
      <c r="D29" s="15">
        <f>C29-E29</f>
        <v>0.3346833414927185</v>
      </c>
      <c r="E29" s="32">
        <f t="shared" si="2"/>
        <v>0</v>
      </c>
      <c r="F29" s="78">
        <v>122</v>
      </c>
      <c r="G29" s="79">
        <v>122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109.9</v>
      </c>
      <c r="M29" s="79">
        <v>109.9</v>
      </c>
      <c r="N29" s="155">
        <v>89.924462890625136</v>
      </c>
      <c r="O29" s="189"/>
      <c r="P29" s="38"/>
      <c r="Q29" s="38"/>
      <c r="R29" s="39"/>
      <c r="S29" s="102"/>
      <c r="T29" s="102"/>
      <c r="U29" s="102"/>
      <c r="V29" s="41"/>
      <c r="W29" s="17">
        <f>SUM(F29:T29)</f>
        <v>993.324462890625</v>
      </c>
      <c r="X29" s="140">
        <v>82</v>
      </c>
      <c r="Y29" s="140">
        <v>8</v>
      </c>
      <c r="Z29" s="39">
        <v>17.324462890625</v>
      </c>
      <c r="AA29" s="39">
        <v>37.675537109375</v>
      </c>
      <c r="AB29" s="135">
        <v>4</v>
      </c>
      <c r="AC29" s="135">
        <v>5</v>
      </c>
      <c r="AD29" s="135">
        <v>2</v>
      </c>
      <c r="AE29" s="135">
        <v>6</v>
      </c>
      <c r="AF29" s="39">
        <v>24.2</v>
      </c>
    </row>
    <row r="30" spans="1:32" s="12" customFormat="1" ht="18.899999999999999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9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-5.7087533156499148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78"/>
      <c r="O30" s="187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188"/>
      <c r="O31" s="190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13">
        <f>Лист1!M$6</f>
        <v>1032.5608090185676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0.39327553235604185</v>
      </c>
      <c r="D32" s="15">
        <f>C32-E32</f>
        <v>0.39327553235604185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109.9</v>
      </c>
      <c r="M32" s="79">
        <v>109.9</v>
      </c>
      <c r="N32" s="155">
        <v>91.190722656250045</v>
      </c>
      <c r="O32" s="189"/>
      <c r="P32" s="38"/>
      <c r="Q32" s="38"/>
      <c r="R32" s="39"/>
      <c r="S32" s="102"/>
      <c r="T32" s="102"/>
      <c r="U32" s="102"/>
      <c r="V32" s="41"/>
      <c r="W32" s="17">
        <f>SUM(F32:T32)</f>
        <v>1042.99072265625</v>
      </c>
      <c r="X32" s="96">
        <v>86</v>
      </c>
      <c r="Y32" s="96">
        <v>8</v>
      </c>
      <c r="Z32" s="39">
        <v>66.99072265625</v>
      </c>
      <c r="AA32" s="39"/>
      <c r="AB32" s="135"/>
      <c r="AC32" s="135">
        <v>5</v>
      </c>
      <c r="AD32" s="135">
        <v>1</v>
      </c>
      <c r="AE32" s="135">
        <v>2</v>
      </c>
      <c r="AF32" s="39">
        <v>24.2</v>
      </c>
    </row>
    <row r="33" spans="1:32" s="12" customFormat="1" ht="18.899999999999999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9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-4.9391909814323753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78"/>
      <c r="O33" s="187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188"/>
      <c r="O34" s="190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13">
        <f>Лист1!N$6</f>
        <v>1081.7303713527851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0.44654116041361908</v>
      </c>
      <c r="D35" s="15">
        <f>C35-E35</f>
        <v>0.44654116041361908</v>
      </c>
      <c r="E35" s="32">
        <f t="shared" si="2"/>
        <v>0</v>
      </c>
      <c r="F35" s="78">
        <v>122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109.9</v>
      </c>
      <c r="L35" s="79">
        <v>109.9</v>
      </c>
      <c r="M35" s="79">
        <v>109.9</v>
      </c>
      <c r="N35" s="155">
        <v>109.9</v>
      </c>
      <c r="O35" s="189">
        <v>91.456982421875068</v>
      </c>
      <c r="P35" s="38"/>
      <c r="Q35" s="38"/>
      <c r="R35" s="39"/>
      <c r="S35" s="102"/>
      <c r="T35" s="102"/>
      <c r="U35" s="102"/>
      <c r="V35" s="41"/>
      <c r="W35" s="17">
        <f>SUM(F35:T35)</f>
        <v>1092.656982421875</v>
      </c>
      <c r="X35" s="96">
        <v>90</v>
      </c>
      <c r="Y35" s="96">
        <v>9</v>
      </c>
      <c r="Z35" s="39">
        <v>-5.343017578125</v>
      </c>
      <c r="AA35" s="39">
        <v>60.343017578125</v>
      </c>
      <c r="AB35" s="135">
        <v>5</v>
      </c>
      <c r="AC35" s="135">
        <v>5</v>
      </c>
      <c r="AD35" s="135">
        <v>2</v>
      </c>
      <c r="AE35" s="135">
        <v>8</v>
      </c>
      <c r="AF35" s="39">
        <v>36.299999999999997</v>
      </c>
    </row>
    <row r="36" spans="1:32" s="12" customFormat="1" ht="18.899999999999999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10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-5.1696286472147222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78"/>
      <c r="O36" s="187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188"/>
      <c r="O37" s="190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13">
        <f>Лист1!O$6</f>
        <v>1101.3981962864721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2.707433946029341E-2</v>
      </c>
      <c r="D38" s="15">
        <f>C38-E38</f>
        <v>2.707433946029341E-2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109.9</v>
      </c>
      <c r="J38" s="79">
        <v>109.9</v>
      </c>
      <c r="K38" s="79">
        <v>109.9</v>
      </c>
      <c r="L38" s="79">
        <v>109.9</v>
      </c>
      <c r="M38" s="79">
        <v>109.9</v>
      </c>
      <c r="N38" s="155">
        <v>109.9</v>
      </c>
      <c r="O38" s="189">
        <v>87.123437500000136</v>
      </c>
      <c r="P38" s="38"/>
      <c r="Q38" s="38"/>
      <c r="R38" s="39"/>
      <c r="S38" s="102"/>
      <c r="T38" s="102"/>
      <c r="U38" s="102"/>
      <c r="V38" s="41"/>
      <c r="W38" s="17">
        <f>SUM(F38:T38)</f>
        <v>1112.5234375</v>
      </c>
      <c r="X38" s="135">
        <v>91</v>
      </c>
      <c r="Y38" s="135">
        <v>9</v>
      </c>
      <c r="Z38" s="39">
        <v>14.5234375</v>
      </c>
      <c r="AA38" s="39">
        <v>40.4765625</v>
      </c>
      <c r="AB38" s="135">
        <v>4</v>
      </c>
      <c r="AC38" s="135">
        <v>5</v>
      </c>
      <c r="AD38" s="135">
        <v>2</v>
      </c>
      <c r="AE38" s="135">
        <v>6</v>
      </c>
      <c r="AF38" s="39">
        <v>24.2</v>
      </c>
    </row>
    <row r="39" spans="1:32" s="12" customFormat="1" ht="18.899999999999999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10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-9.7018037135278519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78"/>
      <c r="O39" s="187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188"/>
      <c r="O40" s="190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13">
        <f>Лист1!P$6</f>
        <v>1121.0660212201592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0.70165548426825397</v>
      </c>
      <c r="D41" s="15">
        <f>C41-E41</f>
        <v>0.70165548426825397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109.9</v>
      </c>
      <c r="K41" s="79">
        <v>109.9</v>
      </c>
      <c r="L41" s="79">
        <v>109.9</v>
      </c>
      <c r="M41" s="79">
        <v>109.9</v>
      </c>
      <c r="N41" s="155">
        <v>109.9</v>
      </c>
      <c r="O41" s="189">
        <v>94.889892578125</v>
      </c>
      <c r="P41" s="38"/>
      <c r="Q41" s="38"/>
      <c r="R41" s="39"/>
      <c r="S41" s="102"/>
      <c r="T41" s="102"/>
      <c r="U41" s="102"/>
      <c r="V41" s="41"/>
      <c r="W41" s="17">
        <f>SUM(F41:T41)</f>
        <v>1132.389892578125</v>
      </c>
      <c r="X41" s="135">
        <v>93</v>
      </c>
      <c r="Y41" s="135">
        <v>9</v>
      </c>
      <c r="Z41" s="39">
        <v>34.389892578125</v>
      </c>
      <c r="AA41" s="39">
        <v>20.610107421875</v>
      </c>
      <c r="AB41" s="135">
        <v>2</v>
      </c>
      <c r="AC41" s="135">
        <v>5</v>
      </c>
      <c r="AD41" s="135">
        <v>1</v>
      </c>
      <c r="AE41" s="135">
        <v>5</v>
      </c>
      <c r="AF41" s="39">
        <v>36.299999999999997</v>
      </c>
    </row>
    <row r="42" spans="1:32" s="12" customFormat="1" ht="18.899999999999999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10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-2.1339787798408452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78"/>
      <c r="O42" s="187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188"/>
      <c r="O43" s="190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7">
        <f>Лист1!Q$6</f>
        <v>1140.7338461538461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0.29225451362618993</v>
      </c>
      <c r="D44" s="15">
        <f>C44-E44</f>
        <v>0.29225451362618993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109.9</v>
      </c>
      <c r="M44" s="82">
        <v>109.9</v>
      </c>
      <c r="N44" s="177">
        <v>109.9</v>
      </c>
      <c r="O44" s="189">
        <v>90.556469726562455</v>
      </c>
      <c r="P44" s="38"/>
      <c r="Q44" s="38"/>
      <c r="R44" s="39"/>
      <c r="S44" s="102"/>
      <c r="T44" s="102"/>
      <c r="U44" s="102"/>
      <c r="V44" s="171"/>
      <c r="W44" s="28">
        <f>SUM(F44:T44)</f>
        <v>1152.2564697265625</v>
      </c>
      <c r="X44" s="135">
        <v>95</v>
      </c>
      <c r="Y44" s="135">
        <v>9</v>
      </c>
      <c r="Z44" s="39">
        <v>54.2564697265625</v>
      </c>
      <c r="AA44" s="39">
        <v>0.7435302734375</v>
      </c>
      <c r="AB44" s="135">
        <v>1</v>
      </c>
      <c r="AC44" s="135">
        <v>5</v>
      </c>
      <c r="AD44" s="135">
        <v>1</v>
      </c>
      <c r="AE44" s="135">
        <v>3</v>
      </c>
      <c r="AF44" s="39">
        <v>24.2</v>
      </c>
    </row>
    <row r="45" spans="1:32" s="12" customFormat="1" ht="18.899999999999999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10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-6.6661538461537475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78"/>
      <c r="O45" s="187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188"/>
      <c r="O46" s="190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13">
        <f>Лист1!R$6</f>
        <v>1160.401671087533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-0.10326845801107806</v>
      </c>
      <c r="D47" s="15">
        <f>C47-E47</f>
        <v>-0.10326845801107806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122</v>
      </c>
      <c r="M47" s="79">
        <v>122</v>
      </c>
      <c r="N47" s="155">
        <v>109.9</v>
      </c>
      <c r="O47" s="189">
        <v>86.222924804687409</v>
      </c>
      <c r="P47" s="38"/>
      <c r="Q47" s="38"/>
      <c r="R47" s="39"/>
      <c r="S47" s="102"/>
      <c r="T47" s="102"/>
      <c r="U47" s="102"/>
      <c r="V47" s="41"/>
      <c r="W47" s="17">
        <f>SUM(F47:T47)</f>
        <v>1172.1229248046875</v>
      </c>
      <c r="X47" s="135">
        <v>96</v>
      </c>
      <c r="Y47" s="135">
        <v>9</v>
      </c>
      <c r="Z47" s="39">
        <v>74.1229248046875</v>
      </c>
      <c r="AA47" s="39"/>
      <c r="AB47" s="135"/>
      <c r="AC47" s="135">
        <v>5</v>
      </c>
      <c r="AD47" s="135">
        <v>1</v>
      </c>
      <c r="AE47" s="135">
        <v>1</v>
      </c>
      <c r="AF47" s="39">
        <v>12.1</v>
      </c>
    </row>
    <row r="48" spans="1:32" s="12" customFormat="1" ht="18.899999999999999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10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-11.198328912466877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78"/>
      <c r="O48" s="187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188"/>
      <c r="O49" s="190"/>
      <c r="P49" s="38"/>
      <c r="Q49" s="38"/>
      <c r="R49" s="39"/>
      <c r="S49" s="102"/>
      <c r="T49" s="102"/>
      <c r="U49" s="102"/>
      <c r="V49" s="41"/>
      <c r="W49" s="17"/>
    </row>
    <row r="50" spans="1:35" ht="18" x14ac:dyDescent="0.35">
      <c r="A50" s="60">
        <f>Лист1!S$3</f>
        <v>12</v>
      </c>
      <c r="B50" s="13">
        <f>Лист1!S$6</f>
        <v>1180.0694960212199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0.53975600951432157</v>
      </c>
      <c r="D50" s="15">
        <f>C50-E50</f>
        <v>0.53975600951432157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122</v>
      </c>
      <c r="N50" s="162">
        <v>122</v>
      </c>
      <c r="O50" s="191">
        <v>93.9893798828125</v>
      </c>
      <c r="P50" s="38"/>
      <c r="Q50" s="38"/>
      <c r="R50" s="39"/>
      <c r="S50" s="102"/>
      <c r="T50" s="102"/>
      <c r="U50" s="102"/>
      <c r="V50" s="41"/>
      <c r="W50" s="17">
        <f>SUM(F50:T50)</f>
        <v>1191.9893798828125</v>
      </c>
      <c r="X50" s="135">
        <v>98</v>
      </c>
      <c r="Y50" s="135">
        <v>9</v>
      </c>
      <c r="Z50" s="39">
        <v>93.9893798828125</v>
      </c>
      <c r="AA50" s="141"/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10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-3.6305039787800979</v>
      </c>
      <c r="E51" s="129">
        <f>B50</f>
        <v>1180.0694960212199</v>
      </c>
      <c r="F51" s="20">
        <f>C51-F50</f>
        <v>-112</v>
      </c>
      <c r="G51" s="26">
        <f t="shared" ref="G51:M51" si="3">F51-G50</f>
        <v>-234</v>
      </c>
      <c r="H51" s="26">
        <f t="shared" si="3"/>
        <v>-356</v>
      </c>
      <c r="I51" s="26">
        <f t="shared" si="3"/>
        <v>-478</v>
      </c>
      <c r="J51" s="26">
        <f t="shared" si="3"/>
        <v>-600</v>
      </c>
      <c r="K51" s="26">
        <f t="shared" si="3"/>
        <v>-722</v>
      </c>
      <c r="L51" s="26">
        <f t="shared" si="3"/>
        <v>-844</v>
      </c>
      <c r="M51" s="26">
        <f t="shared" si="3"/>
        <v>-966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9.6699958348861159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0.42498162121647726</v>
      </c>
      <c r="D53" s="31">
        <f>AVERAGE(D11,D14,D17,D20,D23,D26,D29,D32,D35,D38,D41,D44,D47,D50,)</f>
        <v>0.38391344093426943</v>
      </c>
      <c r="E53" s="31">
        <f>AVERAGE(E11,E14,E17,E20,E23,E26,E29,E32,E35,E38,E41,E44,E47,E50,)</f>
        <v>4.1068180282207822E-2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399999999999999" x14ac:dyDescent="0.35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399999999999999" x14ac:dyDescent="0.35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399999999999999" x14ac:dyDescent="0.35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3"/>
      <c r="P57" s="153"/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2"/>
      <c r="P58" s="93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210">
        <v>9</v>
      </c>
      <c r="O59" s="210">
        <v>10</v>
      </c>
      <c r="P59" s="157"/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211"/>
      <c r="O60" s="211"/>
      <c r="P60" s="104"/>
      <c r="Q60" s="104"/>
      <c r="R60" s="104"/>
      <c r="S60" s="104"/>
      <c r="T60" s="104"/>
      <c r="U60" s="104"/>
      <c r="V60" s="20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" x14ac:dyDescent="0.35">
      <c r="A61" s="60">
        <f>Лист1!F$3</f>
        <v>7</v>
      </c>
      <c r="B61" s="13">
        <f>Лист1!F$6</f>
        <v>688.37387267904501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1.5651193496224272</v>
      </c>
      <c r="D61" s="15">
        <f>C61-E61</f>
        <v>0.87161936821467734</v>
      </c>
      <c r="E61" s="32">
        <f>IF(D62 &gt; $D$60,D62/$B61*100,0)</f>
        <v>0.69349998140774982</v>
      </c>
      <c r="F61" s="78">
        <v>122</v>
      </c>
      <c r="G61" s="79">
        <v>122</v>
      </c>
      <c r="H61" s="79">
        <v>122</v>
      </c>
      <c r="I61" s="79">
        <v>122</v>
      </c>
      <c r="J61" s="79">
        <v>109.9</v>
      </c>
      <c r="K61" s="79">
        <v>97.427148437500023</v>
      </c>
      <c r="L61" s="79"/>
      <c r="M61" s="79"/>
      <c r="N61" s="179"/>
      <c r="O61" s="180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695.3271484375</v>
      </c>
      <c r="X61" s="96">
        <v>57</v>
      </c>
      <c r="Y61" s="96">
        <v>5</v>
      </c>
      <c r="Z61" s="39">
        <v>85.3271484375</v>
      </c>
      <c r="AA61" s="97"/>
      <c r="AC61" s="135">
        <v>3</v>
      </c>
      <c r="AD61" s="135">
        <v>1</v>
      </c>
      <c r="AE61" s="135">
        <v>1</v>
      </c>
      <c r="AF61" s="39">
        <v>12.1</v>
      </c>
    </row>
    <row r="62" spans="1:35" ht="16.5" hidden="1" customHeight="1" x14ac:dyDescent="0.3">
      <c r="A62" s="58"/>
      <c r="B62" s="167"/>
      <c r="C62" s="19">
        <f>$C$58*
(SIGN($F61)+SIGN($G61)+SIGN($H61)+SIGN($I61)
+SIGN($J61)+SIGN($K61)+SIGN($L61)+SIGN($M61)
+SIGN($N61)+SIGN($O61)+SIGN($P61)+SIGN($Q61)
+SIGN($R61)+SIGN($S61)+SIGN($T61)+SIGN($V61))</f>
        <v>6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4.7738726790449846</v>
      </c>
      <c r="E62" s="129">
        <f>B61</f>
        <v>688.37387267904501</v>
      </c>
      <c r="F62" s="78"/>
      <c r="G62" s="79"/>
      <c r="H62" s="79"/>
      <c r="I62" s="79"/>
      <c r="J62" s="79"/>
      <c r="K62" s="79"/>
      <c r="L62" s="79"/>
      <c r="M62" s="79"/>
      <c r="N62" s="181"/>
      <c r="O62" s="182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5" hidden="1" customHeight="1" x14ac:dyDescent="0.3">
      <c r="A63" s="58"/>
      <c r="B63" s="167"/>
      <c r="C63" s="22"/>
      <c r="D63" s="22"/>
      <c r="E63" s="22">
        <f>IF(B61&gt;0,(B61/ROUNDUP(ROUNDUP(((B61-($C$58*ROUNDUP(B61/$H$58,0)))/$C$57),0)/$H$57,0)-$C$58)/$C$57,0-$C$58/$C$57)</f>
        <v>9.3990891553587463</v>
      </c>
      <c r="F63" s="78"/>
      <c r="G63" s="79"/>
      <c r="H63" s="79"/>
      <c r="I63" s="79"/>
      <c r="J63" s="79"/>
      <c r="K63" s="79"/>
      <c r="L63" s="79"/>
      <c r="M63" s="79"/>
      <c r="N63" s="181"/>
      <c r="O63" s="182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" x14ac:dyDescent="0.35">
      <c r="A64" s="60">
        <f>Лист1!G$3</f>
        <v>7.5</v>
      </c>
      <c r="B64" s="13">
        <f>Лист1!G$6</f>
        <v>737.54343501326252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1.5651193496224327</v>
      </c>
      <c r="D64" s="15">
        <f>C64-E64</f>
        <v>0.94909664538931537</v>
      </c>
      <c r="E64" s="32">
        <f t="shared" ref="E64:E100" si="7">IF(D65 &gt; $D$60,D65/$B64*100,0)</f>
        <v>0.61602270423311734</v>
      </c>
      <c r="F64" s="78">
        <v>109.9</v>
      </c>
      <c r="G64" s="79">
        <v>109.9</v>
      </c>
      <c r="H64" s="79">
        <v>109.9</v>
      </c>
      <c r="I64" s="79">
        <v>109.9</v>
      </c>
      <c r="J64" s="79">
        <v>109.9</v>
      </c>
      <c r="K64" s="79">
        <v>97.8</v>
      </c>
      <c r="L64" s="79">
        <v>97.693347167968795</v>
      </c>
      <c r="M64" s="79"/>
      <c r="N64" s="181"/>
      <c r="O64" s="182"/>
      <c r="P64" s="104"/>
      <c r="Q64" s="104"/>
      <c r="R64" s="104"/>
      <c r="S64" s="104"/>
      <c r="T64" s="104"/>
      <c r="U64" s="104"/>
      <c r="V64" s="41"/>
      <c r="W64" s="17">
        <f t="shared" si="6"/>
        <v>744.99334716796875</v>
      </c>
      <c r="X64" s="96">
        <v>61</v>
      </c>
      <c r="Y64" s="96">
        <v>6</v>
      </c>
      <c r="Z64" s="39">
        <v>12.99334716796875</v>
      </c>
      <c r="AA64" s="97">
        <v>62.00665283203125</v>
      </c>
      <c r="AB64" s="135">
        <v>6</v>
      </c>
      <c r="AC64" s="135">
        <v>3</v>
      </c>
      <c r="AD64" s="135">
        <v>3</v>
      </c>
      <c r="AE64" s="135">
        <v>6</v>
      </c>
      <c r="AF64" s="39">
        <v>12.1</v>
      </c>
    </row>
    <row r="65" spans="1:32" s="12" customFormat="1" ht="16.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7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4.5434350132625241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81"/>
      <c r="O65" s="182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81"/>
      <c r="O66" s="182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" x14ac:dyDescent="0.35">
      <c r="A67" s="60">
        <f>Лист1!H$3</f>
        <v>8</v>
      </c>
      <c r="B67" s="13">
        <f>Лист1!H$6</f>
        <v>786.71299734748004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2.7074339460285146E-2</v>
      </c>
      <c r="D67" s="15">
        <f>C67-E67</f>
        <v>2.7074339460285146E-2</v>
      </c>
      <c r="E67" s="32">
        <f t="shared" si="7"/>
        <v>0</v>
      </c>
      <c r="F67" s="78">
        <v>122</v>
      </c>
      <c r="G67" s="79">
        <v>122</v>
      </c>
      <c r="H67" s="79">
        <v>122</v>
      </c>
      <c r="I67" s="79">
        <v>109.9</v>
      </c>
      <c r="J67" s="79">
        <v>109.9</v>
      </c>
      <c r="K67" s="79">
        <v>109.9</v>
      </c>
      <c r="L67" s="79">
        <v>98.959606933593818</v>
      </c>
      <c r="M67" s="79"/>
      <c r="N67" s="181"/>
      <c r="O67" s="182"/>
      <c r="P67" s="104"/>
      <c r="Q67" s="104"/>
      <c r="R67" s="104"/>
      <c r="S67" s="104"/>
      <c r="T67" s="104"/>
      <c r="U67" s="104"/>
      <c r="V67" s="41"/>
      <c r="W67" s="17">
        <f t="shared" si="6"/>
        <v>794.65960693359375</v>
      </c>
      <c r="X67" s="96">
        <v>65</v>
      </c>
      <c r="Y67" s="96">
        <v>6</v>
      </c>
      <c r="Z67" s="39">
        <v>62.65960693359375</v>
      </c>
      <c r="AA67" s="97">
        <v>12.34039306640625</v>
      </c>
      <c r="AB67" s="135">
        <v>2</v>
      </c>
      <c r="AC67" s="135">
        <v>3</v>
      </c>
      <c r="AD67" s="135">
        <v>1</v>
      </c>
      <c r="AE67" s="135">
        <v>3</v>
      </c>
      <c r="AF67" s="39">
        <v>12.1</v>
      </c>
    </row>
    <row r="68" spans="1:32" s="12" customFormat="1" ht="16.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7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-6.7870026525199592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81"/>
      <c r="O68" s="182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81"/>
      <c r="O69" s="182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" x14ac:dyDescent="0.35">
      <c r="A70" s="60">
        <f>Лист1!I$3</f>
        <v>8.5</v>
      </c>
      <c r="B70" s="13">
        <f>Лист1!I$6</f>
        <v>835.88255968169756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0.1175475753521807</v>
      </c>
      <c r="D70" s="15">
        <f>C70-E70</f>
        <v>0.1175475753521807</v>
      </c>
      <c r="E70" s="32">
        <f t="shared" si="7"/>
        <v>0</v>
      </c>
      <c r="F70" s="78">
        <v>122</v>
      </c>
      <c r="G70" s="79">
        <v>122</v>
      </c>
      <c r="H70" s="79">
        <v>122</v>
      </c>
      <c r="I70" s="79">
        <v>122</v>
      </c>
      <c r="J70" s="79">
        <v>122</v>
      </c>
      <c r="K70" s="79">
        <v>122</v>
      </c>
      <c r="L70" s="79">
        <v>112.3258056640625</v>
      </c>
      <c r="M70" s="79"/>
      <c r="N70" s="181"/>
      <c r="O70" s="182"/>
      <c r="P70" s="104"/>
      <c r="Q70" s="104"/>
      <c r="R70" s="104"/>
      <c r="S70" s="104"/>
      <c r="T70" s="104"/>
      <c r="U70" s="104"/>
      <c r="V70" s="41"/>
      <c r="W70" s="17">
        <f t="shared" si="6"/>
        <v>844.3258056640625</v>
      </c>
      <c r="X70" s="96">
        <v>69</v>
      </c>
      <c r="Y70" s="96">
        <v>6</v>
      </c>
      <c r="Z70" s="39">
        <v>112.3258056640625</v>
      </c>
      <c r="AA70" s="97"/>
      <c r="AB70" s="135"/>
      <c r="AC70" s="135"/>
      <c r="AD70" s="135"/>
      <c r="AE70" s="135"/>
      <c r="AF70" s="39"/>
    </row>
    <row r="71" spans="1:32" s="12" customFormat="1" ht="16.5" hidden="1" customHeight="1" x14ac:dyDescent="0.3">
      <c r="A71" s="58"/>
      <c r="B71" s="166"/>
      <c r="C71" s="19">
        <f>$C$58*
(SIGN($F70)+SIGN($G70)+SIGN($H70)+SIGN($I70)
+SIGN($J70)+SIGN($K70)+SIGN($L70)+SIGN($M70)
+SIGN($N70)+SIGN($O70)+SIGN($P70)+SIGN($Q70)
+SIGN($R70)+SIGN($S70)+SIGN($T70)+SIGN($V70))</f>
        <v>7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-6.0174403183024197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81"/>
      <c r="O71" s="182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" hidden="1" customHeight="1" x14ac:dyDescent="0.3">
      <c r="A72" s="58"/>
      <c r="B72" s="166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81"/>
      <c r="O72" s="182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" x14ac:dyDescent="0.35">
      <c r="A73" s="60">
        <f>Лист1!J$3</f>
        <v>9</v>
      </c>
      <c r="B73" s="13">
        <f>Лист1!J$6</f>
        <v>885.05212201591507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0.19796822947831011</v>
      </c>
      <c r="D73" s="15">
        <f>C73-E73</f>
        <v>0.19796822947831011</v>
      </c>
      <c r="E73" s="32">
        <f t="shared" si="7"/>
        <v>0</v>
      </c>
      <c r="F73" s="78">
        <v>122</v>
      </c>
      <c r="G73" s="79">
        <v>122</v>
      </c>
      <c r="H73" s="79">
        <v>109.9</v>
      </c>
      <c r="I73" s="79">
        <v>109.9</v>
      </c>
      <c r="J73" s="79">
        <v>109.9</v>
      </c>
      <c r="K73" s="79">
        <v>109.9</v>
      </c>
      <c r="L73" s="79">
        <v>109.9</v>
      </c>
      <c r="M73" s="79">
        <v>100.49206542968761</v>
      </c>
      <c r="N73" s="155"/>
      <c r="O73" s="189"/>
      <c r="P73" s="38"/>
      <c r="Q73" s="38"/>
      <c r="R73" s="39"/>
      <c r="S73" s="102"/>
      <c r="T73" s="102"/>
      <c r="U73" s="102"/>
      <c r="V73" s="41"/>
      <c r="W73" s="17">
        <f>SUM(F73:T73)</f>
        <v>893.9920654296875</v>
      </c>
      <c r="X73" s="135">
        <v>73</v>
      </c>
      <c r="Y73" s="135">
        <v>7</v>
      </c>
      <c r="Z73" s="39">
        <v>39.9920654296875</v>
      </c>
      <c r="AA73" s="141">
        <v>35.0079345703125</v>
      </c>
      <c r="AB73" s="135">
        <v>3</v>
      </c>
      <c r="AC73" s="135">
        <v>3</v>
      </c>
      <c r="AD73" s="135">
        <v>2</v>
      </c>
      <c r="AE73" s="135">
        <v>5</v>
      </c>
      <c r="AF73" s="39">
        <v>24.2</v>
      </c>
    </row>
    <row r="74" spans="1:32" s="12" customFormat="1" ht="16.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8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-6.2478779840848802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78"/>
      <c r="O74" s="187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188"/>
      <c r="O75" s="190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" x14ac:dyDescent="0.35">
      <c r="A76" s="60">
        <f>Лист1!K$3</f>
        <v>9.5</v>
      </c>
      <c r="B76" s="13">
        <f>Лист1!K$6</f>
        <v>934.22168435013259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0.26992355159116271</v>
      </c>
      <c r="D76" s="15">
        <f>C76-E76</f>
        <v>0.26992355159116271</v>
      </c>
      <c r="E76" s="32">
        <f t="shared" si="7"/>
        <v>0</v>
      </c>
      <c r="F76" s="78">
        <v>122</v>
      </c>
      <c r="G76" s="79">
        <v>122</v>
      </c>
      <c r="H76" s="79">
        <v>122</v>
      </c>
      <c r="I76" s="79">
        <v>122</v>
      </c>
      <c r="J76" s="79">
        <v>122</v>
      </c>
      <c r="K76" s="79">
        <v>122</v>
      </c>
      <c r="L76" s="79">
        <v>109.9</v>
      </c>
      <c r="M76" s="79">
        <v>101.75826416015627</v>
      </c>
      <c r="N76" s="155"/>
      <c r="O76" s="189"/>
      <c r="P76" s="38"/>
      <c r="Q76" s="38"/>
      <c r="R76" s="39"/>
      <c r="S76" s="102"/>
      <c r="T76" s="102"/>
      <c r="U76" s="102"/>
      <c r="V76" s="41"/>
      <c r="W76" s="17">
        <f>SUM(F76:T76)</f>
        <v>943.65826416015625</v>
      </c>
      <c r="X76" s="135">
        <v>77</v>
      </c>
      <c r="Y76" s="135">
        <v>7</v>
      </c>
      <c r="Z76" s="39">
        <v>89.65826416015625</v>
      </c>
      <c r="AA76" s="39"/>
      <c r="AB76" s="135"/>
      <c r="AC76" s="135">
        <v>3</v>
      </c>
      <c r="AD76" s="135">
        <v>1</v>
      </c>
      <c r="AE76" s="135">
        <v>1</v>
      </c>
      <c r="AF76" s="39">
        <v>12.1</v>
      </c>
    </row>
    <row r="77" spans="1:32" s="12" customFormat="1" ht="16.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8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-5.4783156498673407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78"/>
      <c r="O77" s="187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188"/>
      <c r="O78" s="190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" x14ac:dyDescent="0.35">
      <c r="A79" s="60">
        <f>Лист1!L$3</f>
        <v>10</v>
      </c>
      <c r="B79" s="13">
        <f>Лист1!L$6</f>
        <v>983.39124668435011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0.3346833414927185</v>
      </c>
      <c r="D79" s="15">
        <f>C79-E79</f>
        <v>0.3346833414927185</v>
      </c>
      <c r="E79" s="32">
        <f t="shared" si="7"/>
        <v>0</v>
      </c>
      <c r="F79" s="78">
        <v>122</v>
      </c>
      <c r="G79" s="79">
        <v>109.9</v>
      </c>
      <c r="H79" s="79">
        <v>109.9</v>
      </c>
      <c r="I79" s="79">
        <v>109.9</v>
      </c>
      <c r="J79" s="79">
        <v>109.9</v>
      </c>
      <c r="K79" s="79">
        <v>109.9</v>
      </c>
      <c r="L79" s="79">
        <v>109.9</v>
      </c>
      <c r="M79" s="79">
        <v>109.9</v>
      </c>
      <c r="N79" s="155">
        <v>102.02446289062505</v>
      </c>
      <c r="O79" s="189"/>
      <c r="P79" s="38"/>
      <c r="Q79" s="38"/>
      <c r="R79" s="39"/>
      <c r="S79" s="102"/>
      <c r="T79" s="102"/>
      <c r="U79" s="102"/>
      <c r="V79" s="41"/>
      <c r="W79" s="17">
        <f>SUM(F79:T79)</f>
        <v>993.324462890625</v>
      </c>
      <c r="X79" s="135">
        <v>82</v>
      </c>
      <c r="Y79" s="135">
        <v>8</v>
      </c>
      <c r="Z79" s="39">
        <v>17.324462890625</v>
      </c>
      <c r="AA79" s="39">
        <v>57.675537109375</v>
      </c>
      <c r="AB79" s="135">
        <v>5</v>
      </c>
      <c r="AC79" s="135">
        <v>3</v>
      </c>
      <c r="AD79" s="135">
        <v>3</v>
      </c>
      <c r="AE79" s="135">
        <v>7</v>
      </c>
      <c r="AF79" s="39">
        <v>24.2</v>
      </c>
    </row>
    <row r="80" spans="1:32" s="12" customFormat="1" ht="18" hidden="1" customHeight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9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-5.7087533156499148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78"/>
      <c r="O80" s="187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5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188"/>
      <c r="O81" s="190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" x14ac:dyDescent="0.35">
      <c r="A82" s="60">
        <f>Лист1!M$3</f>
        <v>10.5</v>
      </c>
      <c r="B82" s="13">
        <f>Лист1!M$6</f>
        <v>1032.5608090185676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0.39327553235604185</v>
      </c>
      <c r="D82" s="15">
        <f>C82-E82</f>
        <v>0.39327553235604185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109.9</v>
      </c>
      <c r="L82" s="79">
        <v>109.9</v>
      </c>
      <c r="M82" s="79">
        <v>109.9</v>
      </c>
      <c r="N82" s="155">
        <v>103.29072265625007</v>
      </c>
      <c r="O82" s="189"/>
      <c r="P82" s="38"/>
      <c r="Q82" s="38"/>
      <c r="R82" s="39"/>
      <c r="S82" s="102"/>
      <c r="T82" s="102"/>
      <c r="U82" s="102"/>
      <c r="V82" s="41"/>
      <c r="W82" s="17">
        <f>SUM(F82:T82)</f>
        <v>1042.99072265625</v>
      </c>
      <c r="X82" s="135">
        <v>86</v>
      </c>
      <c r="Y82" s="135">
        <v>8</v>
      </c>
      <c r="Z82" s="39">
        <v>66.99072265625</v>
      </c>
      <c r="AA82" s="39">
        <v>8.00927734375</v>
      </c>
      <c r="AB82" s="135">
        <v>1</v>
      </c>
      <c r="AC82" s="135">
        <v>3</v>
      </c>
      <c r="AD82" s="135">
        <v>1</v>
      </c>
      <c r="AE82" s="135">
        <v>3</v>
      </c>
      <c r="AF82" s="39">
        <v>24.2</v>
      </c>
    </row>
    <row r="83" spans="1:32" s="12" customFormat="1" ht="18" hidden="1" customHeight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9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-4.9391909814323753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78"/>
      <c r="O83" s="187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5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188"/>
      <c r="O84" s="190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" x14ac:dyDescent="0.35">
      <c r="A85" s="60">
        <f>Лист1!N$3</f>
        <v>11</v>
      </c>
      <c r="B85" s="13">
        <f>Лист1!N$6</f>
        <v>1081.7303713527851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0.44654116041361908</v>
      </c>
      <c r="D85" s="15">
        <f>C85-E85</f>
        <v>0.44654116041361908</v>
      </c>
      <c r="E85" s="32">
        <f t="shared" si="7"/>
        <v>0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109.9</v>
      </c>
      <c r="M85" s="79">
        <v>109.9</v>
      </c>
      <c r="N85" s="155">
        <v>109.9</v>
      </c>
      <c r="O85" s="189">
        <v>103.55698242187509</v>
      </c>
      <c r="P85" s="38"/>
      <c r="Q85" s="38"/>
      <c r="R85" s="39"/>
      <c r="S85" s="102"/>
      <c r="T85" s="102"/>
      <c r="U85" s="102"/>
      <c r="V85" s="41"/>
      <c r="W85" s="17">
        <f>SUM(F85:T85)</f>
        <v>1092.656982421875</v>
      </c>
      <c r="X85" s="135">
        <v>90</v>
      </c>
      <c r="Y85" s="135">
        <v>9</v>
      </c>
      <c r="Z85" s="39">
        <v>-5.343017578125</v>
      </c>
      <c r="AA85" s="39">
        <v>80.343017578125</v>
      </c>
      <c r="AB85" s="135">
        <v>7</v>
      </c>
      <c r="AC85" s="135">
        <v>3</v>
      </c>
      <c r="AD85" s="135">
        <v>3</v>
      </c>
      <c r="AE85" s="135">
        <v>9</v>
      </c>
      <c r="AF85" s="39">
        <v>24.2</v>
      </c>
    </row>
    <row r="86" spans="1:32" s="12" customFormat="1" ht="18" hidden="1" customHeight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10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-5.1696286472147222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78"/>
      <c r="O86" s="187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5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188"/>
      <c r="O87" s="190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" x14ac:dyDescent="0.35">
      <c r="A88" s="60">
        <f>Лист1!O$3</f>
        <v>11.2</v>
      </c>
      <c r="B88" s="13">
        <f>Лист1!O$6</f>
        <v>1101.3981962864721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2.707433946029341E-2</v>
      </c>
      <c r="D88" s="15">
        <f>C88-E88</f>
        <v>2.707433946029341E-2</v>
      </c>
      <c r="E88" s="32">
        <f t="shared" si="7"/>
        <v>0</v>
      </c>
      <c r="F88" s="78">
        <v>122</v>
      </c>
      <c r="G88" s="79">
        <v>122</v>
      </c>
      <c r="H88" s="79">
        <v>109.9</v>
      </c>
      <c r="I88" s="79">
        <v>109.9</v>
      </c>
      <c r="J88" s="79">
        <v>109.9</v>
      </c>
      <c r="K88" s="79">
        <v>109.9</v>
      </c>
      <c r="L88" s="79">
        <v>109.9</v>
      </c>
      <c r="M88" s="79">
        <v>109.9</v>
      </c>
      <c r="N88" s="155">
        <v>109.9</v>
      </c>
      <c r="O88" s="189">
        <v>99.223437500000159</v>
      </c>
      <c r="P88" s="38"/>
      <c r="Q88" s="38"/>
      <c r="R88" s="39"/>
      <c r="S88" s="102"/>
      <c r="T88" s="102"/>
      <c r="U88" s="102"/>
      <c r="V88" s="41"/>
      <c r="W88" s="17">
        <f>SUM(F88:T88)</f>
        <v>1112.5234375</v>
      </c>
      <c r="X88" s="135">
        <v>91</v>
      </c>
      <c r="Y88" s="135">
        <v>9</v>
      </c>
      <c r="Z88" s="39">
        <v>14.5234375</v>
      </c>
      <c r="AA88" s="39">
        <v>60.4765625</v>
      </c>
      <c r="AB88" s="135">
        <v>5</v>
      </c>
      <c r="AC88" s="135">
        <v>3</v>
      </c>
      <c r="AD88" s="135">
        <v>3</v>
      </c>
      <c r="AE88" s="135">
        <v>7</v>
      </c>
      <c r="AF88" s="39">
        <v>24.2</v>
      </c>
    </row>
    <row r="89" spans="1:32" s="12" customFormat="1" ht="18" hidden="1" customHeight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10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-9.7018037135278519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78"/>
      <c r="O89" s="187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5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188"/>
      <c r="O90" s="190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" x14ac:dyDescent="0.35">
      <c r="A91" s="60">
        <f>Лист1!P$3</f>
        <v>11.4</v>
      </c>
      <c r="B91" s="13">
        <f>Лист1!P$6</f>
        <v>1121.0660212201592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0.70165548426825397</v>
      </c>
      <c r="D91" s="15">
        <f>C91-E91</f>
        <v>0.70165548426825397</v>
      </c>
      <c r="E91" s="32">
        <f t="shared" si="7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109.9</v>
      </c>
      <c r="K91" s="79">
        <v>109.9</v>
      </c>
      <c r="L91" s="79">
        <v>109.9</v>
      </c>
      <c r="M91" s="79">
        <v>109.9</v>
      </c>
      <c r="N91" s="155">
        <v>109.9</v>
      </c>
      <c r="O91" s="189">
        <v>94.889892578125</v>
      </c>
      <c r="P91" s="38"/>
      <c r="Q91" s="38"/>
      <c r="R91" s="39"/>
      <c r="S91" s="102"/>
      <c r="T91" s="102"/>
      <c r="U91" s="102"/>
      <c r="V91" s="41"/>
      <c r="W91" s="17">
        <f>SUM(F91:T91)</f>
        <v>1132.389892578125</v>
      </c>
      <c r="X91" s="135">
        <v>93</v>
      </c>
      <c r="Y91" s="135">
        <v>9</v>
      </c>
      <c r="Z91" s="39">
        <v>34.389892578125</v>
      </c>
      <c r="AA91" s="39">
        <v>40.610107421875</v>
      </c>
      <c r="AB91" s="135">
        <v>4</v>
      </c>
      <c r="AC91" s="135">
        <v>3</v>
      </c>
      <c r="AD91" s="135">
        <v>2</v>
      </c>
      <c r="AE91" s="135">
        <v>5</v>
      </c>
      <c r="AF91" s="39">
        <v>12.1</v>
      </c>
    </row>
    <row r="92" spans="1:32" s="12" customFormat="1" ht="18" hidden="1" customHeight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10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-2.1339787798408452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78"/>
      <c r="O92" s="187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5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188"/>
      <c r="O93" s="190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" x14ac:dyDescent="0.35">
      <c r="A94" s="60">
        <f>Лист1!Q$3</f>
        <v>11.6</v>
      </c>
      <c r="B94" s="27">
        <f>Лист1!Q$6</f>
        <v>1140.7338461538461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0.29225451362618993</v>
      </c>
      <c r="D94" s="15">
        <f>C94-E94</f>
        <v>0.29225451362618993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109.9</v>
      </c>
      <c r="L94" s="82">
        <v>109.9</v>
      </c>
      <c r="M94" s="82">
        <v>109.9</v>
      </c>
      <c r="N94" s="177">
        <v>109.9</v>
      </c>
      <c r="O94" s="189">
        <v>102.65646972656259</v>
      </c>
      <c r="P94" s="38"/>
      <c r="Q94" s="38"/>
      <c r="R94" s="39"/>
      <c r="S94" s="102"/>
      <c r="T94" s="102"/>
      <c r="U94" s="102"/>
      <c r="V94" s="171"/>
      <c r="W94" s="28">
        <f>SUM(F94:T94)</f>
        <v>1152.2564697265625</v>
      </c>
      <c r="X94" s="135">
        <v>95</v>
      </c>
      <c r="Y94" s="135">
        <v>9</v>
      </c>
      <c r="Z94" s="39">
        <v>54.2564697265625</v>
      </c>
      <c r="AA94" s="39">
        <v>20.7435302734375</v>
      </c>
      <c r="AB94" s="135">
        <v>2</v>
      </c>
      <c r="AC94" s="135">
        <v>3</v>
      </c>
      <c r="AD94" s="135">
        <v>2</v>
      </c>
      <c r="AE94" s="135">
        <v>4</v>
      </c>
      <c r="AF94" s="39">
        <v>24.2</v>
      </c>
    </row>
    <row r="95" spans="1:32" s="12" customFormat="1" ht="18" hidden="1" customHeight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10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-6.6661538461537475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78"/>
      <c r="O95" s="187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5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188"/>
      <c r="O96" s="190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" x14ac:dyDescent="0.35">
      <c r="A97" s="60">
        <f>Лист1!R$3</f>
        <v>11.8</v>
      </c>
      <c r="B97" s="13">
        <f>Лист1!R$6</f>
        <v>1160.401671087533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-0.10326845801107806</v>
      </c>
      <c r="D97" s="15">
        <f>C97-E97</f>
        <v>-0.10326845801107806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122</v>
      </c>
      <c r="M97" s="79">
        <v>109.9</v>
      </c>
      <c r="N97" s="155">
        <v>109.9</v>
      </c>
      <c r="O97" s="189">
        <v>98.322924804687545</v>
      </c>
      <c r="P97" s="38"/>
      <c r="Q97" s="38"/>
      <c r="R97" s="39"/>
      <c r="S97" s="102"/>
      <c r="T97" s="102"/>
      <c r="U97" s="102"/>
      <c r="V97" s="41"/>
      <c r="W97" s="17">
        <f>SUM(F97:T97)</f>
        <v>1172.1229248046875</v>
      </c>
      <c r="X97" s="135">
        <v>96</v>
      </c>
      <c r="Y97" s="135">
        <v>9</v>
      </c>
      <c r="Z97" s="39">
        <v>74.1229248046875</v>
      </c>
      <c r="AA97" s="39">
        <v>0.8770751953125</v>
      </c>
      <c r="AB97" s="135">
        <v>1</v>
      </c>
      <c r="AC97" s="135">
        <v>3</v>
      </c>
      <c r="AD97" s="135">
        <v>1</v>
      </c>
      <c r="AE97" s="135">
        <v>2</v>
      </c>
      <c r="AF97" s="39">
        <v>12.1</v>
      </c>
    </row>
    <row r="98" spans="1:35" ht="18" hidden="1" customHeight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10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-11.198328912466877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78"/>
      <c r="O98" s="187"/>
      <c r="P98" s="21"/>
      <c r="Q98" s="21"/>
      <c r="R98" s="42"/>
      <c r="S98" s="21"/>
      <c r="T98" s="21"/>
      <c r="U98" s="21"/>
      <c r="V98" s="41"/>
      <c r="W98" s="17"/>
    </row>
    <row r="99" spans="1:35" ht="18" hidden="1" customHeight="1" x14ac:dyDescent="0.35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188"/>
      <c r="O99" s="190"/>
      <c r="P99" s="38"/>
      <c r="Q99" s="38"/>
      <c r="R99" s="39"/>
      <c r="S99" s="102"/>
      <c r="T99" s="102"/>
      <c r="U99" s="102"/>
      <c r="V99" s="41"/>
      <c r="W99" s="17"/>
    </row>
    <row r="100" spans="1:35" ht="18" x14ac:dyDescent="0.35">
      <c r="A100" s="60">
        <f>Лист1!S$3</f>
        <v>12</v>
      </c>
      <c r="B100" s="13">
        <f>Лист1!S$6</f>
        <v>1180.0694960212199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0.53975600951432157</v>
      </c>
      <c r="D100" s="15">
        <f>C100-E100</f>
        <v>0.53975600951432157</v>
      </c>
      <c r="E100" s="32">
        <f t="shared" si="7"/>
        <v>0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122</v>
      </c>
      <c r="M100" s="88">
        <v>122</v>
      </c>
      <c r="N100" s="162">
        <v>122</v>
      </c>
      <c r="O100" s="191">
        <v>93.9893798828125</v>
      </c>
      <c r="P100" s="38"/>
      <c r="Q100" s="38"/>
      <c r="R100" s="39"/>
      <c r="S100" s="102"/>
      <c r="T100" s="102"/>
      <c r="U100" s="102"/>
      <c r="V100" s="41"/>
      <c r="W100" s="17">
        <f>SUM(F100:T100)</f>
        <v>1191.9893798828125</v>
      </c>
      <c r="X100" s="135">
        <v>98</v>
      </c>
      <c r="Y100" s="135">
        <v>9</v>
      </c>
      <c r="Z100" s="39">
        <v>93.9893798828125</v>
      </c>
      <c r="AA100" s="141"/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10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-3.6305039787800979</v>
      </c>
      <c r="E101" s="129">
        <f>B100</f>
        <v>1180.0694960212199</v>
      </c>
      <c r="F101" s="20">
        <f>C101-F100</f>
        <v>-112</v>
      </c>
      <c r="G101" s="26">
        <f t="shared" ref="G101:M101" si="8">F101-G100</f>
        <v>-234</v>
      </c>
      <c r="H101" s="26">
        <f t="shared" si="8"/>
        <v>-356</v>
      </c>
      <c r="I101" s="26">
        <f t="shared" si="8"/>
        <v>-478</v>
      </c>
      <c r="J101" s="26">
        <f t="shared" si="8"/>
        <v>-600</v>
      </c>
      <c r="K101" s="26">
        <f t="shared" si="8"/>
        <v>-722</v>
      </c>
      <c r="L101" s="26">
        <f t="shared" si="8"/>
        <v>-844</v>
      </c>
      <c r="M101" s="26">
        <f t="shared" si="8"/>
        <v>-966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9.6699958348861159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0.42498162121647726</v>
      </c>
      <c r="D103" s="31">
        <f>AVERAGE(D61,D64,D67,D70,D73,D76,D79,D82,D85,D88,D91,D94,D97,D100,)</f>
        <v>0.33768010884041944</v>
      </c>
      <c r="E103" s="31">
        <f>AVERAGE(E61,E64,E67,E70,E73,E76,E79,E82,E85,E88,E91,E94,E97,E100,)</f>
        <v>8.7301512376057808E-2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399999999999999" x14ac:dyDescent="0.35">
      <c r="B104" s="30"/>
      <c r="C104" s="31"/>
      <c r="D104" s="31"/>
      <c r="E104" s="31"/>
      <c r="V104" s="38"/>
      <c r="W104" s="40"/>
    </row>
    <row r="105" spans="1:35" ht="17.399999999999999" x14ac:dyDescent="0.35">
      <c r="B105" s="30"/>
      <c r="C105" s="31"/>
      <c r="D105" s="31"/>
      <c r="E105" s="31"/>
      <c r="V105" s="38"/>
      <c r="W105" s="40"/>
    </row>
    <row r="106" spans="1:35" ht="17.399999999999999" x14ac:dyDescent="0.35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3"/>
      <c r="P107" s="153"/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2"/>
      <c r="P108" s="93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210">
        <v>9</v>
      </c>
      <c r="O109" s="210">
        <v>10</v>
      </c>
      <c r="P109" s="157"/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211"/>
      <c r="O110" s="211"/>
      <c r="P110" s="104"/>
      <c r="Q110" s="104"/>
      <c r="R110" s="104"/>
      <c r="S110" s="104"/>
      <c r="T110" s="104"/>
      <c r="U110" s="104"/>
      <c r="V110" s="20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" x14ac:dyDescent="0.35">
      <c r="A111" s="60">
        <f>Лист1!F$3</f>
        <v>7</v>
      </c>
      <c r="B111" s="13">
        <f>Лист1!F$6</f>
        <v>688.37387267904501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1.5651193496224272</v>
      </c>
      <c r="D111" s="15">
        <f>C111-E111</f>
        <v>0.87161936821467734</v>
      </c>
      <c r="E111" s="32">
        <f>IF(D112 &gt; $D$110,D112/$B111*100,0)</f>
        <v>0.69349998140774982</v>
      </c>
      <c r="F111" s="78">
        <v>122</v>
      </c>
      <c r="G111" s="79">
        <v>122</v>
      </c>
      <c r="H111" s="79">
        <v>122</v>
      </c>
      <c r="I111" s="79">
        <v>109.9</v>
      </c>
      <c r="J111" s="79">
        <v>109.9</v>
      </c>
      <c r="K111" s="79">
        <v>109.52714843750005</v>
      </c>
      <c r="L111" s="79"/>
      <c r="M111" s="79"/>
      <c r="N111" s="179"/>
      <c r="O111" s="180"/>
      <c r="P111" s="104"/>
      <c r="Q111" s="104"/>
      <c r="R111" s="104"/>
      <c r="S111" s="104"/>
      <c r="T111" s="104"/>
      <c r="U111" s="104"/>
      <c r="V111" s="41"/>
      <c r="W111" s="17">
        <f>SUM(F111:T111)</f>
        <v>695.3271484375</v>
      </c>
      <c r="X111" s="96">
        <v>57</v>
      </c>
      <c r="Y111" s="96">
        <v>5</v>
      </c>
      <c r="Z111" s="39">
        <v>85.3271484375</v>
      </c>
      <c r="AA111" s="97">
        <v>9.6728515625</v>
      </c>
      <c r="AB111" s="135">
        <v>1</v>
      </c>
      <c r="AC111" s="135">
        <v>2</v>
      </c>
      <c r="AD111" s="135">
        <v>1</v>
      </c>
      <c r="AE111" s="135">
        <v>2</v>
      </c>
      <c r="AF111" s="39">
        <v>12.1</v>
      </c>
    </row>
    <row r="112" spans="1:35" ht="16.5" hidden="1" customHeight="1" x14ac:dyDescent="0.3">
      <c r="A112" s="58"/>
      <c r="B112" s="165"/>
      <c r="C112" s="19">
        <f>$C$58*
(SIGN($F111)+SIGN($G111)+SIGN($H111)+SIGN($I111)
+SIGN($J111)+SIGN($K111)+SIGN($L111)+SIGN($M111)
+SIGN($N111)+SIGN($O111)+SIGN($P111)+SIGN($Q111)
+SIGN($R111)+SIGN($S111)+SIGN($T111)+SIGN($U111))</f>
        <v>6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4.7738726790449846</v>
      </c>
      <c r="E112" s="129">
        <f>B111</f>
        <v>688.37387267904501</v>
      </c>
      <c r="F112" s="78"/>
      <c r="G112" s="79"/>
      <c r="H112" s="79"/>
      <c r="I112" s="79"/>
      <c r="J112" s="79"/>
      <c r="K112" s="79"/>
      <c r="L112" s="79"/>
      <c r="M112" s="79"/>
      <c r="N112" s="181"/>
      <c r="O112" s="182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5" hidden="1" customHeight="1" x14ac:dyDescent="0.3">
      <c r="A113" s="58"/>
      <c r="B113" s="165"/>
      <c r="C113" s="22"/>
      <c r="D113" s="22"/>
      <c r="E113" s="22">
        <f>IF(B111&gt;0,(B111/ROUNDUP(ROUNDUP(((B111-($C$108*ROUNDUP(B111/$H$108,0)))/$C$107),0)/$H$107,0)-$C$108)/$C$107,0-$C$108/$C$107)</f>
        <v>9.3990891553587463</v>
      </c>
      <c r="F113" s="78"/>
      <c r="G113" s="79"/>
      <c r="H113" s="79"/>
      <c r="I113" s="79"/>
      <c r="J113" s="79"/>
      <c r="K113" s="79"/>
      <c r="L113" s="79"/>
      <c r="M113" s="79"/>
      <c r="N113" s="181"/>
      <c r="O113" s="182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" x14ac:dyDescent="0.35">
      <c r="A114" s="60">
        <f>Лист1!G$3</f>
        <v>7.5</v>
      </c>
      <c r="B114" s="13">
        <f>Лист1!G$6</f>
        <v>737.54343501326252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1.5651193496224327</v>
      </c>
      <c r="D114" s="15">
        <f>C114-E114</f>
        <v>0.94909664538931537</v>
      </c>
      <c r="E114" s="32">
        <f>IF(D115 &gt; $D$110,D115/$B114*100,0)</f>
        <v>0.61602270423311734</v>
      </c>
      <c r="F114" s="78">
        <v>109.9</v>
      </c>
      <c r="G114" s="79">
        <v>109.9</v>
      </c>
      <c r="H114" s="79">
        <v>109.9</v>
      </c>
      <c r="I114" s="79">
        <v>109.9</v>
      </c>
      <c r="J114" s="79">
        <v>97.8</v>
      </c>
      <c r="K114" s="79">
        <v>97.8</v>
      </c>
      <c r="L114" s="79">
        <v>109.79334716796882</v>
      </c>
      <c r="M114" s="79"/>
      <c r="N114" s="181"/>
      <c r="O114" s="182"/>
      <c r="P114" s="104"/>
      <c r="Q114" s="104"/>
      <c r="R114" s="104"/>
      <c r="S114" s="104"/>
      <c r="T114" s="104"/>
      <c r="U114" s="104"/>
      <c r="V114" s="41"/>
      <c r="W114" s="17">
        <f>SUM(F114:T114)</f>
        <v>744.99334716796875</v>
      </c>
      <c r="X114" s="96">
        <v>61</v>
      </c>
      <c r="Y114" s="96">
        <v>6</v>
      </c>
      <c r="Z114" s="39">
        <v>12.99334716796875</v>
      </c>
      <c r="AA114" s="97">
        <v>82.00665283203125</v>
      </c>
      <c r="AB114" s="135">
        <v>7</v>
      </c>
      <c r="AC114" s="135">
        <v>2</v>
      </c>
      <c r="AD114" s="135">
        <v>4</v>
      </c>
      <c r="AE114" s="135">
        <v>6</v>
      </c>
      <c r="AF114" s="39">
        <v>12.1</v>
      </c>
    </row>
    <row r="115" spans="1:32" s="12" customFormat="1" ht="16.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7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4.5434350132625241</v>
      </c>
      <c r="E115" s="129">
        <f>B114</f>
        <v>737.54343501326252</v>
      </c>
      <c r="F115" s="78"/>
      <c r="G115" s="79"/>
      <c r="H115" s="79"/>
      <c r="I115" s="79"/>
      <c r="J115" s="79"/>
      <c r="K115" s="79"/>
      <c r="L115" s="79"/>
      <c r="M115" s="79"/>
      <c r="N115" s="181"/>
      <c r="O115" s="182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8.6250700709948358</v>
      </c>
      <c r="F116" s="78"/>
      <c r="G116" s="79"/>
      <c r="H116" s="79"/>
      <c r="I116" s="79"/>
      <c r="J116" s="79"/>
      <c r="K116" s="79"/>
      <c r="L116" s="79"/>
      <c r="M116" s="79"/>
      <c r="N116" s="181"/>
      <c r="O116" s="182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" x14ac:dyDescent="0.35">
      <c r="A117" s="60">
        <f>Лист1!H$3</f>
        <v>8</v>
      </c>
      <c r="B117" s="13">
        <f>Лист1!H$6</f>
        <v>786.71299734748004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2.7074339460285146E-2</v>
      </c>
      <c r="D117" s="15">
        <f>C117-E117</f>
        <v>2.7074339460285146E-2</v>
      </c>
      <c r="E117" s="32">
        <f>IF(D118 &gt; $D$110,D118/$B117*100,0)</f>
        <v>0</v>
      </c>
      <c r="F117" s="78">
        <v>122</v>
      </c>
      <c r="G117" s="79">
        <v>122</v>
      </c>
      <c r="H117" s="79">
        <v>109.9</v>
      </c>
      <c r="I117" s="79">
        <v>109.9</v>
      </c>
      <c r="J117" s="79">
        <v>109.9</v>
      </c>
      <c r="K117" s="79">
        <v>109.9</v>
      </c>
      <c r="L117" s="79">
        <v>111.05960693359384</v>
      </c>
      <c r="M117" s="79"/>
      <c r="N117" s="181"/>
      <c r="O117" s="182"/>
      <c r="P117" s="104"/>
      <c r="Q117" s="104"/>
      <c r="R117" s="104"/>
      <c r="S117" s="104"/>
      <c r="T117" s="104"/>
      <c r="U117" s="104"/>
      <c r="V117" s="41"/>
      <c r="W117" s="17">
        <f>SUM(F117:T117)</f>
        <v>794.65960693359375</v>
      </c>
      <c r="X117" s="96">
        <v>65</v>
      </c>
      <c r="Y117" s="96">
        <v>6</v>
      </c>
      <c r="Z117" s="39">
        <v>62.65960693359375</v>
      </c>
      <c r="AA117" s="97">
        <v>32.34039306640625</v>
      </c>
      <c r="AB117" s="135">
        <v>3</v>
      </c>
      <c r="AC117" s="135">
        <v>2</v>
      </c>
      <c r="AD117" s="135">
        <v>2</v>
      </c>
      <c r="AE117" s="135">
        <v>4</v>
      </c>
      <c r="AF117" s="39">
        <v>12.1</v>
      </c>
    </row>
    <row r="118" spans="1:32" s="12" customFormat="1" ht="16.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7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-6.7870026525199592</v>
      </c>
      <c r="E118" s="129">
        <f>B117</f>
        <v>786.71299734748004</v>
      </c>
      <c r="F118" s="78"/>
      <c r="G118" s="79"/>
      <c r="H118" s="79"/>
      <c r="I118" s="79"/>
      <c r="J118" s="79"/>
      <c r="K118" s="79"/>
      <c r="L118" s="79"/>
      <c r="M118" s="79"/>
      <c r="N118" s="181"/>
      <c r="O118" s="182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9.2055843842677696</v>
      </c>
      <c r="F119" s="78"/>
      <c r="G119" s="79"/>
      <c r="H119" s="79"/>
      <c r="I119" s="79"/>
      <c r="J119" s="79"/>
      <c r="K119" s="79"/>
      <c r="L119" s="79"/>
      <c r="M119" s="79"/>
      <c r="N119" s="181"/>
      <c r="O119" s="182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" x14ac:dyDescent="0.35">
      <c r="A120" s="60">
        <f>Лист1!I$3</f>
        <v>8.5</v>
      </c>
      <c r="B120" s="13">
        <f>Лист1!I$6</f>
        <v>835.88255968169756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0.1175475753521807</v>
      </c>
      <c r="D120" s="15">
        <f>C120-E120</f>
        <v>0.1175475753521807</v>
      </c>
      <c r="E120" s="32">
        <f>IF(D121 &gt; $D$110,D121/$B120*100,0)</f>
        <v>0</v>
      </c>
      <c r="F120" s="78">
        <v>122</v>
      </c>
      <c r="G120" s="79">
        <v>122</v>
      </c>
      <c r="H120" s="79">
        <v>122</v>
      </c>
      <c r="I120" s="79">
        <v>122</v>
      </c>
      <c r="J120" s="79">
        <v>122</v>
      </c>
      <c r="K120" s="79">
        <v>122</v>
      </c>
      <c r="L120" s="79">
        <v>112.3258056640625</v>
      </c>
      <c r="M120" s="79"/>
      <c r="N120" s="181"/>
      <c r="O120" s="182"/>
      <c r="P120" s="104"/>
      <c r="Q120" s="104"/>
      <c r="R120" s="104"/>
      <c r="S120" s="104"/>
      <c r="T120" s="104"/>
      <c r="U120" s="104"/>
      <c r="V120" s="41"/>
      <c r="W120" s="17">
        <f>SUM(F120:T120)</f>
        <v>844.3258056640625</v>
      </c>
      <c r="X120" s="96">
        <v>69</v>
      </c>
      <c r="Y120" s="96">
        <v>6</v>
      </c>
      <c r="Z120" s="39">
        <v>112.3258056640625</v>
      </c>
      <c r="AA120" s="97"/>
      <c r="AB120" s="135"/>
      <c r="AC120" s="135"/>
      <c r="AD120" s="135"/>
      <c r="AE120" s="135"/>
      <c r="AF120" s="39"/>
    </row>
    <row r="121" spans="1:32" s="12" customFormat="1" ht="16.5" hidden="1" customHeight="1" x14ac:dyDescent="0.3">
      <c r="A121" s="58"/>
      <c r="B121" s="164"/>
      <c r="C121" s="19">
        <f>$C$58*
(SIGN($F120)+SIGN($G120)+SIGN($H120)+SIGN($I120)
+SIGN($J120)+SIGN($K120)+SIGN($L120)+SIGN($M120)
+SIGN($N120)+SIGN($O120)+SIGN($P120)+SIGN($Q120)
+SIGN($R120)+SIGN($S120)+SIGN($T120)+SIGN($U120))</f>
        <v>7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-6.0174403183024197</v>
      </c>
      <c r="E121" s="129">
        <f>B120</f>
        <v>835.88255968169756</v>
      </c>
      <c r="F121" s="78"/>
      <c r="G121" s="79"/>
      <c r="H121" s="79"/>
      <c r="I121" s="79"/>
      <c r="J121" s="79"/>
      <c r="K121" s="79"/>
      <c r="L121" s="79"/>
      <c r="M121" s="79"/>
      <c r="N121" s="181"/>
      <c r="O121" s="182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" hidden="1" customHeight="1" x14ac:dyDescent="0.3">
      <c r="A122" s="58"/>
      <c r="B122" s="164"/>
      <c r="C122" s="22"/>
      <c r="D122" s="22"/>
      <c r="E122" s="22">
        <f>IF(B120&gt;0,(B120/ROUNDUP(ROUNDUP(((B120-($C$108*ROUNDUP(B120/$H$108,0)))/$C$107),0)/$H$107,0)-$C$108)/$C$107,0-$C$108/$C$107)</f>
        <v>9.7860986975407034</v>
      </c>
      <c r="F122" s="78"/>
      <c r="G122" s="79"/>
      <c r="H122" s="79"/>
      <c r="I122" s="79"/>
      <c r="J122" s="79"/>
      <c r="K122" s="79"/>
      <c r="L122" s="79"/>
      <c r="M122" s="79"/>
      <c r="N122" s="181"/>
      <c r="O122" s="182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" x14ac:dyDescent="0.35">
      <c r="A123" s="60">
        <f>Лист1!J$3</f>
        <v>9</v>
      </c>
      <c r="B123" s="13">
        <f>Лист1!J$6</f>
        <v>885.05212201591507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0.19796822947831011</v>
      </c>
      <c r="D123" s="15">
        <f>C123-E123</f>
        <v>0.19796822947831011</v>
      </c>
      <c r="E123" s="32">
        <f>IF(D124 &gt; $D$110,D124/$B123*100,0)</f>
        <v>0</v>
      </c>
      <c r="F123" s="78">
        <v>122</v>
      </c>
      <c r="G123" s="79">
        <v>109.9</v>
      </c>
      <c r="H123" s="79">
        <v>109.9</v>
      </c>
      <c r="I123" s="79">
        <v>109.9</v>
      </c>
      <c r="J123" s="79">
        <v>109.9</v>
      </c>
      <c r="K123" s="79">
        <v>109.9</v>
      </c>
      <c r="L123" s="79">
        <v>109.9</v>
      </c>
      <c r="M123" s="79">
        <v>112.59206542968752</v>
      </c>
      <c r="N123" s="155"/>
      <c r="O123" s="189"/>
      <c r="P123" s="38"/>
      <c r="Q123" s="38"/>
      <c r="R123" s="39"/>
      <c r="S123" s="102"/>
      <c r="T123" s="102"/>
      <c r="U123" s="102"/>
      <c r="V123" s="41"/>
      <c r="W123" s="17">
        <f>SUM(F123:T123)</f>
        <v>893.9920654296875</v>
      </c>
      <c r="X123" s="135">
        <v>73</v>
      </c>
      <c r="Y123" s="135">
        <v>7</v>
      </c>
      <c r="Z123" s="39">
        <v>39.9920654296875</v>
      </c>
      <c r="AA123" s="39">
        <v>55.0079345703125</v>
      </c>
      <c r="AB123" s="135">
        <v>5</v>
      </c>
      <c r="AC123" s="135">
        <v>2</v>
      </c>
      <c r="AD123" s="135">
        <v>3</v>
      </c>
      <c r="AE123" s="135">
        <v>6</v>
      </c>
      <c r="AF123" s="39">
        <v>12.1</v>
      </c>
    </row>
    <row r="124" spans="1:32" s="12" customFormat="1" ht="16.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8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-6.2478779840848802</v>
      </c>
      <c r="E124" s="129">
        <f>B123</f>
        <v>885.05212201591507</v>
      </c>
      <c r="F124" s="81"/>
      <c r="G124" s="81"/>
      <c r="H124" s="81"/>
      <c r="I124" s="81"/>
      <c r="J124" s="81"/>
      <c r="K124" s="81"/>
      <c r="L124" s="81"/>
      <c r="M124" s="79"/>
      <c r="N124" s="178"/>
      <c r="O124" s="187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9.0604558059495357</v>
      </c>
      <c r="F125" s="82"/>
      <c r="G125" s="79"/>
      <c r="H125" s="79"/>
      <c r="I125" s="79"/>
      <c r="J125" s="79"/>
      <c r="K125" s="79"/>
      <c r="L125" s="83"/>
      <c r="M125" s="81"/>
      <c r="N125" s="188"/>
      <c r="O125" s="190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" x14ac:dyDescent="0.35">
      <c r="A126" s="60">
        <f>Лист1!K$3</f>
        <v>9.5</v>
      </c>
      <c r="B126" s="13">
        <f>Лист1!K$6</f>
        <v>934.22168435013259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0.26992355159116271</v>
      </c>
      <c r="D126" s="15">
        <f>C126-E126</f>
        <v>0.26992355159116271</v>
      </c>
      <c r="E126" s="32">
        <f>IF(D127 &gt; $D$110,D127/$B126*100,0)</f>
        <v>0</v>
      </c>
      <c r="F126" s="78">
        <v>122</v>
      </c>
      <c r="G126" s="79">
        <v>122</v>
      </c>
      <c r="H126" s="79">
        <v>122</v>
      </c>
      <c r="I126" s="79">
        <v>122</v>
      </c>
      <c r="J126" s="79">
        <v>122</v>
      </c>
      <c r="K126" s="79">
        <v>109.9</v>
      </c>
      <c r="L126" s="79">
        <v>109.9</v>
      </c>
      <c r="M126" s="79">
        <v>113.8582641601563</v>
      </c>
      <c r="N126" s="155"/>
      <c r="O126" s="189"/>
      <c r="P126" s="38"/>
      <c r="Q126" s="38"/>
      <c r="R126" s="39"/>
      <c r="S126" s="102"/>
      <c r="T126" s="102"/>
      <c r="U126" s="102"/>
      <c r="V126" s="41"/>
      <c r="W126" s="17">
        <f>SUM(F126:T126)</f>
        <v>943.65826416015625</v>
      </c>
      <c r="X126" s="135">
        <v>77</v>
      </c>
      <c r="Y126" s="135">
        <v>7</v>
      </c>
      <c r="Z126" s="39">
        <v>89.65826416015625</v>
      </c>
      <c r="AA126" s="39">
        <v>5.34173583984375</v>
      </c>
      <c r="AB126" s="135">
        <v>1</v>
      </c>
      <c r="AC126" s="135">
        <v>2</v>
      </c>
      <c r="AD126" s="135">
        <v>1</v>
      </c>
      <c r="AE126" s="135">
        <v>2</v>
      </c>
      <c r="AF126" s="39">
        <v>12.1</v>
      </c>
    </row>
    <row r="127" spans="1:32" s="12" customFormat="1" ht="16.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8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-5.4783156498673407</v>
      </c>
      <c r="E127" s="129">
        <f>B126</f>
        <v>934.22168435013259</v>
      </c>
      <c r="F127" s="81"/>
      <c r="G127" s="81"/>
      <c r="H127" s="81"/>
      <c r="I127" s="81"/>
      <c r="J127" s="81"/>
      <c r="K127" s="81"/>
      <c r="L127" s="81"/>
      <c r="M127" s="79"/>
      <c r="N127" s="178"/>
      <c r="O127" s="187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9.5684058300633534</v>
      </c>
      <c r="F128" s="82"/>
      <c r="G128" s="79"/>
      <c r="H128" s="79"/>
      <c r="I128" s="79"/>
      <c r="J128" s="79"/>
      <c r="K128" s="79"/>
      <c r="L128" s="83"/>
      <c r="M128" s="81"/>
      <c r="N128" s="188"/>
      <c r="O128" s="190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" x14ac:dyDescent="0.35">
      <c r="A129" s="60">
        <f>Лист1!L$3</f>
        <v>10</v>
      </c>
      <c r="B129" s="13">
        <f>Лист1!L$6</f>
        <v>983.39124668435011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0.3346833414927185</v>
      </c>
      <c r="D129" s="15">
        <f>C129-E129</f>
        <v>0.3346833414927185</v>
      </c>
      <c r="E129" s="32">
        <f>IF(D130 &gt; $D$110,D130/$B129*100,0)</f>
        <v>0</v>
      </c>
      <c r="F129" s="78">
        <v>109.9</v>
      </c>
      <c r="G129" s="79">
        <v>109.9</v>
      </c>
      <c r="H129" s="79">
        <v>109.9</v>
      </c>
      <c r="I129" s="79">
        <v>109.9</v>
      </c>
      <c r="J129" s="79">
        <v>109.9</v>
      </c>
      <c r="K129" s="79">
        <v>109.9</v>
      </c>
      <c r="L129" s="79">
        <v>109.9</v>
      </c>
      <c r="M129" s="79">
        <v>109.9</v>
      </c>
      <c r="N129" s="155">
        <v>114.12446289062507</v>
      </c>
      <c r="O129" s="189"/>
      <c r="P129" s="38"/>
      <c r="Q129" s="38"/>
      <c r="R129" s="39"/>
      <c r="S129" s="102"/>
      <c r="T129" s="102"/>
      <c r="U129" s="102"/>
      <c r="V129" s="41"/>
      <c r="W129" s="17">
        <f>SUM(F129:T129)</f>
        <v>993.324462890625</v>
      </c>
      <c r="X129" s="135">
        <v>82</v>
      </c>
      <c r="Y129" s="135">
        <v>8</v>
      </c>
      <c r="Z129" s="39">
        <v>17.324462890625</v>
      </c>
      <c r="AA129" s="39">
        <v>77.675537109375</v>
      </c>
      <c r="AB129" s="135">
        <v>7</v>
      </c>
      <c r="AC129" s="135">
        <v>2</v>
      </c>
      <c r="AD129" s="135">
        <v>4</v>
      </c>
      <c r="AE129" s="135">
        <v>8</v>
      </c>
      <c r="AF129" s="39">
        <v>12.1</v>
      </c>
    </row>
    <row r="130" spans="1:32" s="12" customFormat="1" ht="18" hidden="1" customHeight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9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-5.7087533156499148</v>
      </c>
      <c r="E130" s="129">
        <f>B129</f>
        <v>983.39124668435011</v>
      </c>
      <c r="F130" s="81"/>
      <c r="G130" s="81"/>
      <c r="H130" s="81"/>
      <c r="I130" s="81"/>
      <c r="J130" s="81"/>
      <c r="K130" s="81"/>
      <c r="L130" s="81"/>
      <c r="M130" s="79"/>
      <c r="N130" s="178"/>
      <c r="O130" s="187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8.9475780228131327</v>
      </c>
      <c r="F131" s="82"/>
      <c r="G131" s="79"/>
      <c r="H131" s="79"/>
      <c r="I131" s="79"/>
      <c r="J131" s="79"/>
      <c r="K131" s="79"/>
      <c r="L131" s="83"/>
      <c r="M131" s="81"/>
      <c r="N131" s="188"/>
      <c r="O131" s="190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" x14ac:dyDescent="0.35">
      <c r="A132" s="60">
        <f>Лист1!M$3</f>
        <v>10.5</v>
      </c>
      <c r="B132" s="13">
        <f>Лист1!M$6</f>
        <v>1032.5608090185676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0.39327553235604185</v>
      </c>
      <c r="D132" s="15">
        <f>C132-E132</f>
        <v>0.39327553235604185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122</v>
      </c>
      <c r="J132" s="79">
        <v>109.9</v>
      </c>
      <c r="K132" s="79">
        <v>109.9</v>
      </c>
      <c r="L132" s="79">
        <v>109.9</v>
      </c>
      <c r="M132" s="79">
        <v>109.9</v>
      </c>
      <c r="N132" s="155">
        <v>115.39072265625009</v>
      </c>
      <c r="O132" s="189"/>
      <c r="P132" s="38"/>
      <c r="Q132" s="38"/>
      <c r="R132" s="39"/>
      <c r="S132" s="102"/>
      <c r="T132" s="102"/>
      <c r="U132" s="102"/>
      <c r="V132" s="41"/>
      <c r="W132" s="17">
        <f>SUM(F132:T132)</f>
        <v>1042.99072265625</v>
      </c>
      <c r="X132" s="135">
        <v>86</v>
      </c>
      <c r="Y132" s="135">
        <v>8</v>
      </c>
      <c r="Z132" s="39">
        <v>66.99072265625</v>
      </c>
      <c r="AA132" s="39">
        <v>28.00927734375</v>
      </c>
      <c r="AB132" s="135">
        <v>3</v>
      </c>
      <c r="AC132" s="135">
        <v>2</v>
      </c>
      <c r="AD132" s="135">
        <v>2</v>
      </c>
      <c r="AE132" s="135">
        <v>4</v>
      </c>
      <c r="AF132" s="39">
        <v>12.1</v>
      </c>
    </row>
    <row r="133" spans="1:32" s="12" customFormat="1" ht="18" hidden="1" customHeight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9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-4.9391909814323753</v>
      </c>
      <c r="E133" s="129">
        <f>B132</f>
        <v>1032.5608090185676</v>
      </c>
      <c r="F133" s="81"/>
      <c r="G133" s="81"/>
      <c r="H133" s="81"/>
      <c r="I133" s="81"/>
      <c r="J133" s="81"/>
      <c r="K133" s="81"/>
      <c r="L133" s="81"/>
      <c r="M133" s="79"/>
      <c r="N133" s="178"/>
      <c r="O133" s="187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9.3990891553587481</v>
      </c>
      <c r="F134" s="82"/>
      <c r="G134" s="79"/>
      <c r="H134" s="79"/>
      <c r="I134" s="79"/>
      <c r="J134" s="79"/>
      <c r="K134" s="79"/>
      <c r="L134" s="79"/>
      <c r="M134" s="81"/>
      <c r="N134" s="188"/>
      <c r="O134" s="190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" x14ac:dyDescent="0.35">
      <c r="A135" s="60">
        <f>Лист1!N$3</f>
        <v>11</v>
      </c>
      <c r="B135" s="13">
        <f>Лист1!N$6</f>
        <v>1081.7303713527851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0.44654116041361908</v>
      </c>
      <c r="D135" s="15">
        <f>C135-E135</f>
        <v>0.44654116041361908</v>
      </c>
      <c r="E135" s="32">
        <f>IF(D136 &gt; $D$110,D136/$B135*100,0)</f>
        <v>0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109.9</v>
      </c>
      <c r="M135" s="79">
        <v>109.9</v>
      </c>
      <c r="N135" s="155">
        <v>97.8</v>
      </c>
      <c r="O135" s="189">
        <v>115.65698242187511</v>
      </c>
      <c r="P135" s="38"/>
      <c r="Q135" s="38"/>
      <c r="R135" s="39"/>
      <c r="S135" s="102"/>
      <c r="T135" s="102"/>
      <c r="U135" s="102"/>
      <c r="V135" s="41"/>
      <c r="W135" s="17">
        <f>SUM(F135:T135)</f>
        <v>1092.656982421875</v>
      </c>
      <c r="X135" s="135">
        <v>90</v>
      </c>
      <c r="Y135" s="135">
        <v>9</v>
      </c>
      <c r="Z135" s="39">
        <v>-5.343017578125</v>
      </c>
      <c r="AA135" s="39">
        <v>100.343017578125</v>
      </c>
      <c r="AB135" s="135">
        <v>9</v>
      </c>
      <c r="AC135" s="135">
        <v>2</v>
      </c>
      <c r="AD135" s="135">
        <v>5</v>
      </c>
      <c r="AE135" s="135">
        <v>9</v>
      </c>
      <c r="AF135" s="39">
        <v>12.1</v>
      </c>
    </row>
    <row r="136" spans="1:32" s="12" customFormat="1" ht="18" hidden="1" customHeight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10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-5.1696286472147222</v>
      </c>
      <c r="E136" s="129">
        <f>B135</f>
        <v>1081.7303713527851</v>
      </c>
      <c r="F136" s="81"/>
      <c r="G136" s="81"/>
      <c r="H136" s="81"/>
      <c r="I136" s="81"/>
      <c r="J136" s="81"/>
      <c r="K136" s="81"/>
      <c r="L136" s="81"/>
      <c r="M136" s="79"/>
      <c r="N136" s="178"/>
      <c r="O136" s="187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9.8506002879043635</v>
      </c>
      <c r="F137" s="82"/>
      <c r="G137" s="79"/>
      <c r="H137" s="79"/>
      <c r="I137" s="79"/>
      <c r="J137" s="79"/>
      <c r="K137" s="79"/>
      <c r="L137" s="79"/>
      <c r="M137" s="81"/>
      <c r="N137" s="188"/>
      <c r="O137" s="190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" x14ac:dyDescent="0.35">
      <c r="A138" s="60">
        <f>Лист1!O$3</f>
        <v>11.2</v>
      </c>
      <c r="B138" s="13">
        <f>Лист1!O$6</f>
        <v>1101.3981962864721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2.707433946029341E-2</v>
      </c>
      <c r="D138" s="15">
        <f>C138-E138</f>
        <v>2.707433946029341E-2</v>
      </c>
      <c r="E138" s="32">
        <f>IF(D139 &gt; $D$110,D139/$B138*100,0)</f>
        <v>0</v>
      </c>
      <c r="F138" s="78">
        <v>122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109.9</v>
      </c>
      <c r="L138" s="79">
        <v>109.9</v>
      </c>
      <c r="M138" s="79">
        <v>109.9</v>
      </c>
      <c r="N138" s="155">
        <v>109.9</v>
      </c>
      <c r="O138" s="189">
        <v>111.32343750000007</v>
      </c>
      <c r="P138" s="38"/>
      <c r="Q138" s="38"/>
      <c r="R138" s="39"/>
      <c r="S138" s="102"/>
      <c r="T138" s="102"/>
      <c r="U138" s="102"/>
      <c r="V138" s="41"/>
      <c r="W138" s="17">
        <f>SUM(F138:T138)</f>
        <v>1112.5234375</v>
      </c>
      <c r="X138" s="135">
        <v>91</v>
      </c>
      <c r="Y138" s="135">
        <v>9</v>
      </c>
      <c r="Z138" s="39">
        <v>14.5234375</v>
      </c>
      <c r="AA138" s="39">
        <v>80.4765625</v>
      </c>
      <c r="AB138" s="135">
        <v>7</v>
      </c>
      <c r="AC138" s="135">
        <v>2</v>
      </c>
      <c r="AD138" s="135">
        <v>4</v>
      </c>
      <c r="AE138" s="135">
        <v>8</v>
      </c>
      <c r="AF138" s="39">
        <v>12.1</v>
      </c>
    </row>
    <row r="139" spans="1:32" s="12" customFormat="1" ht="18" hidden="1" customHeight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10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-9.7018037135278519</v>
      </c>
      <c r="E139" s="129">
        <f>B138</f>
        <v>1101.3981962864721</v>
      </c>
      <c r="F139" s="81"/>
      <c r="G139" s="81"/>
      <c r="H139" s="81"/>
      <c r="I139" s="81"/>
      <c r="J139" s="81"/>
      <c r="K139" s="81"/>
      <c r="L139" s="81"/>
      <c r="M139" s="79"/>
      <c r="N139" s="178"/>
      <c r="O139" s="187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9.0198198040204307</v>
      </c>
      <c r="F140" s="82"/>
      <c r="G140" s="79"/>
      <c r="H140" s="79"/>
      <c r="I140" s="79"/>
      <c r="J140" s="79"/>
      <c r="K140" s="79"/>
      <c r="L140" s="79"/>
      <c r="M140" s="81"/>
      <c r="N140" s="188"/>
      <c r="O140" s="190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" x14ac:dyDescent="0.35">
      <c r="A141" s="60">
        <f>Лист1!P$3</f>
        <v>11.4</v>
      </c>
      <c r="B141" s="13">
        <f>Лист1!P$6</f>
        <v>1121.0660212201592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0.70165548426825397</v>
      </c>
      <c r="D141" s="15">
        <f>C141-E141</f>
        <v>0.70165548426825397</v>
      </c>
      <c r="E141" s="32">
        <f>IF(D142 &gt; $D$110,D142/$B141*100,0)</f>
        <v>0</v>
      </c>
      <c r="F141" s="78">
        <v>122</v>
      </c>
      <c r="G141" s="79">
        <v>122</v>
      </c>
      <c r="H141" s="79">
        <v>122</v>
      </c>
      <c r="I141" s="79">
        <v>109.9</v>
      </c>
      <c r="J141" s="79">
        <v>109.9</v>
      </c>
      <c r="K141" s="79">
        <v>109.9</v>
      </c>
      <c r="L141" s="79">
        <v>109.9</v>
      </c>
      <c r="M141" s="79">
        <v>109.9</v>
      </c>
      <c r="N141" s="155">
        <v>109.9</v>
      </c>
      <c r="O141" s="189">
        <v>106.98989257812514</v>
      </c>
      <c r="P141" s="38"/>
      <c r="Q141" s="38"/>
      <c r="R141" s="39"/>
      <c r="S141" s="102"/>
      <c r="T141" s="102"/>
      <c r="U141" s="102"/>
      <c r="V141" s="41"/>
      <c r="W141" s="17">
        <f>SUM(F141:T141)</f>
        <v>1132.389892578125</v>
      </c>
      <c r="X141" s="135">
        <v>93</v>
      </c>
      <c r="Y141" s="135">
        <v>9</v>
      </c>
      <c r="Z141" s="39">
        <v>34.389892578125</v>
      </c>
      <c r="AA141" s="39">
        <v>60.610107421875</v>
      </c>
      <c r="AB141" s="135">
        <v>6</v>
      </c>
      <c r="AC141" s="135">
        <v>2</v>
      </c>
      <c r="AD141" s="135">
        <v>3</v>
      </c>
      <c r="AE141" s="135">
        <v>6</v>
      </c>
      <c r="AF141" s="39"/>
    </row>
    <row r="142" spans="1:32" s="12" customFormat="1" ht="18" hidden="1" customHeight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10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-2.1339787798408452</v>
      </c>
      <c r="E142" s="129">
        <f>B141</f>
        <v>1121.0660212201592</v>
      </c>
      <c r="F142" s="81"/>
      <c r="G142" s="81"/>
      <c r="H142" s="81"/>
      <c r="I142" s="81"/>
      <c r="J142" s="81"/>
      <c r="K142" s="81"/>
      <c r="L142" s="81"/>
      <c r="M142" s="79"/>
      <c r="N142" s="178"/>
      <c r="O142" s="187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9.1823638117368525</v>
      </c>
      <c r="F143" s="82"/>
      <c r="G143" s="79"/>
      <c r="H143" s="79"/>
      <c r="I143" s="79"/>
      <c r="J143" s="79"/>
      <c r="K143" s="79"/>
      <c r="L143" s="79"/>
      <c r="M143" s="81"/>
      <c r="N143" s="188"/>
      <c r="O143" s="190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" x14ac:dyDescent="0.35">
      <c r="A144" s="60">
        <f>Лист1!Q$3</f>
        <v>11.6</v>
      </c>
      <c r="B144" s="27">
        <f>Лист1!Q$6</f>
        <v>1140.7338461538461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0.29225451362618993</v>
      </c>
      <c r="D144" s="15">
        <f>C144-E144</f>
        <v>0.29225451362618993</v>
      </c>
      <c r="E144" s="32">
        <f>IF(D145 &gt; $D$110,D145/$B144*100,0)</f>
        <v>0</v>
      </c>
      <c r="F144" s="85">
        <v>122</v>
      </c>
      <c r="G144" s="82">
        <v>122</v>
      </c>
      <c r="H144" s="82">
        <v>122</v>
      </c>
      <c r="I144" s="82">
        <v>122</v>
      </c>
      <c r="J144" s="82">
        <v>109.9</v>
      </c>
      <c r="K144" s="82">
        <v>109.9</v>
      </c>
      <c r="L144" s="82">
        <v>109.9</v>
      </c>
      <c r="M144" s="82">
        <v>109.9</v>
      </c>
      <c r="N144" s="177">
        <v>109.9</v>
      </c>
      <c r="O144" s="189">
        <v>114.7564697265625</v>
      </c>
      <c r="P144" s="38"/>
      <c r="Q144" s="38"/>
      <c r="R144" s="39"/>
      <c r="S144" s="102"/>
      <c r="T144" s="102"/>
      <c r="U144" s="102"/>
      <c r="V144" s="171"/>
      <c r="W144" s="28">
        <f>SUM(F144:T144)</f>
        <v>1152.2564697265625</v>
      </c>
      <c r="X144" s="135">
        <v>95</v>
      </c>
      <c r="Y144" s="135">
        <v>9</v>
      </c>
      <c r="Z144" s="39">
        <v>54.2564697265625</v>
      </c>
      <c r="AA144" s="39">
        <v>40.7435302734375</v>
      </c>
      <c r="AB144" s="135">
        <v>4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" hidden="1" customHeight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10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-6.6661538461537475</v>
      </c>
      <c r="E145" s="129">
        <f>B144</f>
        <v>1140.7338461538461</v>
      </c>
      <c r="F145" s="81"/>
      <c r="G145" s="81"/>
      <c r="H145" s="81"/>
      <c r="I145" s="81"/>
      <c r="J145" s="81"/>
      <c r="K145" s="81"/>
      <c r="L145" s="81"/>
      <c r="M145" s="79"/>
      <c r="N145" s="178"/>
      <c r="O145" s="187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9.3449078194532742</v>
      </c>
      <c r="F146" s="82"/>
      <c r="G146" s="79"/>
      <c r="H146" s="79"/>
      <c r="I146" s="79"/>
      <c r="J146" s="79"/>
      <c r="K146" s="79"/>
      <c r="L146" s="79"/>
      <c r="M146" s="81"/>
      <c r="N146" s="188"/>
      <c r="O146" s="190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" x14ac:dyDescent="0.35">
      <c r="A147" s="60">
        <f>Лист1!R$3</f>
        <v>11.8</v>
      </c>
      <c r="B147" s="13">
        <f>Лист1!R$6</f>
        <v>1160.401671087533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-0.10326845801107806</v>
      </c>
      <c r="D147" s="15">
        <f>C147-E147</f>
        <v>-0.10326845801107806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122</v>
      </c>
      <c r="J147" s="79">
        <v>122</v>
      </c>
      <c r="K147" s="79">
        <v>122</v>
      </c>
      <c r="L147" s="79">
        <v>109.9</v>
      </c>
      <c r="M147" s="79">
        <v>109.9</v>
      </c>
      <c r="N147" s="155">
        <v>109.9</v>
      </c>
      <c r="O147" s="189">
        <v>110.42292480468745</v>
      </c>
      <c r="P147" s="38"/>
      <c r="Q147" s="38"/>
      <c r="R147" s="39"/>
      <c r="S147" s="102"/>
      <c r="T147" s="102"/>
      <c r="U147" s="102"/>
      <c r="V147" s="41"/>
      <c r="W147" s="17">
        <f>SUM(F147:T147)</f>
        <v>1172.1229248046875</v>
      </c>
      <c r="X147" s="135">
        <v>96</v>
      </c>
      <c r="Y147" s="135">
        <v>9</v>
      </c>
      <c r="Z147" s="39">
        <v>74.1229248046875</v>
      </c>
      <c r="AA147" s="39">
        <v>20.8770751953125</v>
      </c>
      <c r="AB147" s="135">
        <v>2</v>
      </c>
      <c r="AC147" s="135">
        <v>2</v>
      </c>
      <c r="AD147" s="135">
        <v>2</v>
      </c>
      <c r="AE147" s="135">
        <v>3</v>
      </c>
      <c r="AF147" s="39">
        <v>12.1</v>
      </c>
    </row>
    <row r="148" spans="1:32" s="12" customFormat="1" ht="18" hidden="1" customHeight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10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-11.198328912466877</v>
      </c>
      <c r="E148" s="129">
        <f>B147</f>
        <v>1160.401671087533</v>
      </c>
      <c r="F148" s="81"/>
      <c r="G148" s="81"/>
      <c r="H148" s="81"/>
      <c r="I148" s="81"/>
      <c r="J148" s="81"/>
      <c r="K148" s="81"/>
      <c r="L148" s="81"/>
      <c r="M148" s="81"/>
      <c r="N148" s="178"/>
      <c r="O148" s="187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9.5074518271696959</v>
      </c>
      <c r="F149" s="82"/>
      <c r="G149" s="79"/>
      <c r="H149" s="79"/>
      <c r="I149" s="79"/>
      <c r="J149" s="79"/>
      <c r="K149" s="79"/>
      <c r="L149" s="79"/>
      <c r="M149" s="79"/>
      <c r="N149" s="188"/>
      <c r="O149" s="190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" x14ac:dyDescent="0.35">
      <c r="A150" s="60">
        <f>Лист1!S$3</f>
        <v>12</v>
      </c>
      <c r="B150" s="13">
        <f>Лист1!S$6</f>
        <v>1180.0694960212199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0.53975600951432157</v>
      </c>
      <c r="D150" s="15">
        <f>C150-E150</f>
        <v>0.53975600951432157</v>
      </c>
      <c r="E150" s="32">
        <f>IF(D151 &gt; $D$110,D151/$B150*100,0)</f>
        <v>0</v>
      </c>
      <c r="F150" s="87">
        <v>122</v>
      </c>
      <c r="G150" s="88">
        <v>122</v>
      </c>
      <c r="H150" s="88">
        <v>122</v>
      </c>
      <c r="I150" s="88">
        <v>122</v>
      </c>
      <c r="J150" s="88">
        <v>122</v>
      </c>
      <c r="K150" s="88">
        <v>122</v>
      </c>
      <c r="L150" s="88">
        <v>122</v>
      </c>
      <c r="M150" s="88">
        <v>122</v>
      </c>
      <c r="N150" s="162">
        <v>109.9</v>
      </c>
      <c r="O150" s="191">
        <v>106.08937988281241</v>
      </c>
      <c r="P150" s="38"/>
      <c r="Q150" s="38"/>
      <c r="R150" s="39"/>
      <c r="S150" s="102"/>
      <c r="T150" s="102"/>
      <c r="U150" s="102"/>
      <c r="V150" s="41"/>
      <c r="W150" s="17">
        <f>SUM(F150:T150)</f>
        <v>1191.9893798828125</v>
      </c>
      <c r="X150" s="135">
        <v>98</v>
      </c>
      <c r="Y150" s="135">
        <v>9</v>
      </c>
      <c r="Z150" s="39">
        <v>93.9893798828125</v>
      </c>
      <c r="AA150" s="141">
        <v>1.0106201171875</v>
      </c>
      <c r="AB150" s="135">
        <v>1</v>
      </c>
      <c r="AC150" s="135">
        <v>2</v>
      </c>
      <c r="AD150" s="135">
        <v>1</v>
      </c>
      <c r="AE150" s="135">
        <v>1</v>
      </c>
      <c r="AF150" s="39"/>
    </row>
    <row r="151" spans="1:32" s="12" customFormat="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10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-3.6305039787800979</v>
      </c>
      <c r="E151" s="129">
        <f>B150</f>
        <v>1180.0694960212199</v>
      </c>
      <c r="F151" s="20">
        <f>C151-F150</f>
        <v>-112</v>
      </c>
      <c r="G151" s="26">
        <f t="shared" ref="G151:M151" si="11">F151-G150</f>
        <v>-234</v>
      </c>
      <c r="H151" s="26">
        <f t="shared" si="11"/>
        <v>-356</v>
      </c>
      <c r="I151" s="26">
        <f t="shared" si="11"/>
        <v>-478</v>
      </c>
      <c r="J151" s="26">
        <f t="shared" si="11"/>
        <v>-600</v>
      </c>
      <c r="K151" s="26">
        <f t="shared" si="11"/>
        <v>-722</v>
      </c>
      <c r="L151" s="26">
        <f t="shared" si="11"/>
        <v>-844</v>
      </c>
      <c r="M151" s="26">
        <f t="shared" si="11"/>
        <v>-966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9.6699958348861159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0.42498162121647726</v>
      </c>
      <c r="D153" s="31">
        <f>AVERAGE(D111,D114,D117,D120,D123,D126,D129,D132,D135,D138,D141,D144,D147,D150,)</f>
        <v>0.33768010884041944</v>
      </c>
      <c r="E153" s="31">
        <f>AVERAGE(E111,E114,E117,E120,E123,E126,E129,E132,E135,E138,E141,E144,E147,E150,)</f>
        <v>8.7301512376057808E-2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9">
    <mergeCell ref="L59:L60"/>
    <mergeCell ref="M59:M60"/>
    <mergeCell ref="N59:N60"/>
    <mergeCell ref="O59:O60"/>
    <mergeCell ref="A107:A109"/>
    <mergeCell ref="B109:B110"/>
    <mergeCell ref="C109:C110"/>
    <mergeCell ref="F109:F110"/>
    <mergeCell ref="G109:G110"/>
    <mergeCell ref="H109:H110"/>
    <mergeCell ref="O109:O110"/>
    <mergeCell ref="I109:I110"/>
    <mergeCell ref="J109:J110"/>
    <mergeCell ref="K109:K110"/>
    <mergeCell ref="L109:L110"/>
    <mergeCell ref="M109:M110"/>
    <mergeCell ref="N109:N110"/>
    <mergeCell ref="O9:O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I9:I10"/>
    <mergeCell ref="J9:J10"/>
    <mergeCell ref="K9:K10"/>
    <mergeCell ref="L9:L10"/>
    <mergeCell ref="M9:M10"/>
    <mergeCell ref="N9:N10"/>
    <mergeCell ref="H9:H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7:AF153"/>
  <sheetViews>
    <sheetView topLeftCell="A73" zoomScaleNormal="100" workbookViewId="0">
      <selection activeCell="V10" sqref="V10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4" width="8.6640625" style="98" customWidth="1"/>
    <col min="25" max="25" width="8.88671875" style="98"/>
    <col min="26" max="26" width="8.88671875" style="92"/>
    <col min="27" max="16384" width="8.88671875" style="12"/>
  </cols>
  <sheetData>
    <row r="7" spans="1:31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59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94"/>
      <c r="Y7" s="94"/>
      <c r="Z7" s="90"/>
    </row>
    <row r="8" spans="1:31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94"/>
      <c r="Y8" s="95"/>
      <c r="Z8" s="91"/>
    </row>
    <row r="9" spans="1:31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62"/>
      <c r="O9" s="62">
        <v>10</v>
      </c>
      <c r="P9" s="62">
        <v>11</v>
      </c>
      <c r="Q9" s="62">
        <v>12</v>
      </c>
      <c r="R9" s="62">
        <v>13</v>
      </c>
      <c r="S9" s="62">
        <v>14</v>
      </c>
      <c r="T9" s="62">
        <v>15</v>
      </c>
      <c r="U9" s="104"/>
      <c r="V9" s="172" t="s">
        <v>69</v>
      </c>
      <c r="W9" s="35"/>
      <c r="X9" s="96"/>
      <c r="Y9" s="96"/>
      <c r="Z9" s="36"/>
      <c r="AA9" s="36"/>
      <c r="AB9" s="36"/>
    </row>
    <row r="10" spans="1:31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62"/>
      <c r="O10" s="62"/>
      <c r="P10" s="62"/>
      <c r="Q10" s="62"/>
      <c r="R10" s="62"/>
      <c r="S10" s="62"/>
      <c r="T10" s="62"/>
      <c r="U10" s="104"/>
      <c r="V10" s="203">
        <f>($E$7+$E$8)/2</f>
        <v>90</v>
      </c>
      <c r="W10" s="35"/>
      <c r="X10" s="96" t="s">
        <v>48</v>
      </c>
      <c r="Y10" s="96" t="s">
        <v>4</v>
      </c>
      <c r="Z10" s="133" t="s">
        <v>49</v>
      </c>
      <c r="AA10" s="96" t="s">
        <v>50</v>
      </c>
      <c r="AB10" s="96" t="s">
        <v>51</v>
      </c>
      <c r="AC10" s="96" t="s">
        <v>52</v>
      </c>
      <c r="AD10" s="96" t="s">
        <v>60</v>
      </c>
      <c r="AE10" s="96" t="s">
        <v>61</v>
      </c>
    </row>
    <row r="11" spans="1:31" ht="18.899999999999999" x14ac:dyDescent="0.35">
      <c r="A11" s="60">
        <f>Лист1!F$3</f>
        <v>7</v>
      </c>
      <c r="B11" s="13">
        <f>Лист1!F$7</f>
        <v>505.88099415204687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1.9334575256067319</v>
      </c>
      <c r="D11" s="15">
        <f>C11-E11</f>
        <v>1.1860496973319083</v>
      </c>
      <c r="E11" s="32">
        <f>IF(D12 &gt; $D$10,D12/$B11*100,0)</f>
        <v>0.74740782827482366</v>
      </c>
      <c r="F11" s="78">
        <v>122</v>
      </c>
      <c r="G11" s="79">
        <v>109.9</v>
      </c>
      <c r="H11" s="79">
        <v>109.9</v>
      </c>
      <c r="I11" s="79">
        <v>109.9</v>
      </c>
      <c r="J11" s="79">
        <v>59.290905761718705</v>
      </c>
      <c r="K11" s="79"/>
      <c r="L11" s="79"/>
      <c r="M11" s="80"/>
      <c r="N11" s="66"/>
      <c r="O11" s="66"/>
      <c r="P11" s="66"/>
      <c r="Q11" s="66"/>
      <c r="R11" s="66"/>
      <c r="S11" s="66"/>
      <c r="T11" s="66"/>
      <c r="U11" s="104"/>
      <c r="W11" s="17">
        <f>SUM(F11:T11)</f>
        <v>510.99090576171875</v>
      </c>
      <c r="X11" s="96">
        <v>42</v>
      </c>
      <c r="Y11" s="96">
        <v>4</v>
      </c>
      <c r="Z11" s="133">
        <v>22.99090576171875</v>
      </c>
      <c r="AA11" s="96">
        <v>32.00909423828125</v>
      </c>
      <c r="AB11" s="135">
        <v>3</v>
      </c>
      <c r="AC11" s="135">
        <v>5</v>
      </c>
      <c r="AD11" s="135">
        <v>1</v>
      </c>
      <c r="AE11" s="135">
        <v>3</v>
      </c>
    </row>
    <row r="12" spans="1:31" ht="16.95" hidden="1" x14ac:dyDescent="0.3">
      <c r="A12" s="58"/>
      <c r="B12" s="23"/>
      <c r="C12" s="19">
        <f>$C$8*
(SIGN($F11)+SIGN($G11)+SIGN($H11)+SIGN($I11)
+SIGN($J11)+SIGN($K11)+SIGN($L11)+SIGN($M11)
+SIGN($N11)+SIGN($O11)+SIGN($P11)+SIGN($Q11)
+SIGN($R11)+SIGN($S11)+SIGN($T11)+SIGN($V10))</f>
        <v>6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3.780994152046901</v>
      </c>
      <c r="E12" s="129">
        <f>B11</f>
        <v>505.88099415204687</v>
      </c>
      <c r="F12" s="78"/>
      <c r="G12" s="79"/>
      <c r="H12" s="79"/>
      <c r="I12" s="79"/>
      <c r="J12" s="79"/>
      <c r="K12" s="79"/>
      <c r="L12" s="79"/>
      <c r="M12" s="80"/>
      <c r="N12" s="66"/>
      <c r="O12" s="66"/>
      <c r="P12" s="66"/>
      <c r="Q12" s="66"/>
      <c r="R12" s="66"/>
      <c r="S12" s="66"/>
      <c r="T12" s="66"/>
      <c r="U12" s="104"/>
      <c r="V12" s="41"/>
      <c r="W12" s="17"/>
      <c r="X12" s="96"/>
      <c r="Y12" s="96"/>
      <c r="Z12" s="133"/>
      <c r="AA12" s="96"/>
      <c r="AB12" s="135"/>
      <c r="AC12" s="135"/>
      <c r="AD12" s="135"/>
      <c r="AE12" s="135"/>
    </row>
    <row r="13" spans="1:31" ht="16.95" hidden="1" x14ac:dyDescent="0.3">
      <c r="A13" s="58"/>
      <c r="B13" s="67"/>
      <c r="C13" s="23"/>
      <c r="D13" s="24"/>
      <c r="E13" s="24">
        <f>IF(B11&gt;0,(B11/ROUNDUP(ROUNDUP(((B11-($C$8*ROUNDUP(B11/$H$8,0)))/$C$7),0)/$H$7,0)-$C$8)/$C$7,0-$C$8/$C$7)</f>
        <v>8.2790246967280474</v>
      </c>
      <c r="F13" s="78"/>
      <c r="G13" s="79"/>
      <c r="H13" s="79"/>
      <c r="I13" s="79"/>
      <c r="J13" s="79"/>
      <c r="K13" s="79"/>
      <c r="L13" s="79"/>
      <c r="M13" s="80"/>
      <c r="N13" s="66"/>
      <c r="O13" s="66"/>
      <c r="P13" s="66"/>
      <c r="Q13" s="66"/>
      <c r="R13" s="66"/>
      <c r="S13" s="66"/>
      <c r="T13" s="66"/>
      <c r="U13" s="104"/>
      <c r="V13" s="41"/>
      <c r="W13" s="17"/>
      <c r="X13" s="97"/>
      <c r="Y13" s="97"/>
      <c r="Z13" s="133"/>
      <c r="AA13" s="96"/>
      <c r="AB13" s="135"/>
      <c r="AC13" s="135"/>
      <c r="AD13" s="135"/>
      <c r="AE13" s="135"/>
    </row>
    <row r="14" spans="1:31" ht="18.899999999999999" x14ac:dyDescent="0.35">
      <c r="A14" s="60">
        <f>Лист1!G$3</f>
        <v>7.5</v>
      </c>
      <c r="B14" s="13">
        <f>Лист1!G$7</f>
        <v>542.0153508771931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1.7739997329654447</v>
      </c>
      <c r="D14" s="15">
        <f>C14-E14</f>
        <v>0.92248309792481753</v>
      </c>
      <c r="E14" s="32">
        <f t="shared" ref="E14:E50" si="2">IF(D15 &gt; $D$10,D15/$B14*100,0)</f>
        <v>0.85151663504062713</v>
      </c>
      <c r="F14" s="78">
        <v>122</v>
      </c>
      <c r="G14" s="79">
        <v>122</v>
      </c>
      <c r="H14" s="79">
        <v>122</v>
      </c>
      <c r="I14" s="79">
        <v>122</v>
      </c>
      <c r="J14" s="79">
        <v>59.490234375</v>
      </c>
      <c r="K14" s="79"/>
      <c r="L14" s="79"/>
      <c r="M14" s="80"/>
      <c r="N14" s="66"/>
      <c r="O14" s="66"/>
      <c r="P14" s="66"/>
      <c r="Q14" s="66"/>
      <c r="R14" s="66"/>
      <c r="S14" s="66"/>
      <c r="T14" s="66"/>
      <c r="U14" s="104"/>
      <c r="V14" s="41"/>
      <c r="W14" s="17">
        <f>SUM(F14:T14)</f>
        <v>547.490234375</v>
      </c>
      <c r="X14" s="96">
        <v>45</v>
      </c>
      <c r="Y14" s="96">
        <v>4</v>
      </c>
      <c r="Z14" s="133">
        <v>59.490234375</v>
      </c>
      <c r="AA14" s="96"/>
      <c r="AB14" s="135"/>
      <c r="AC14" s="135"/>
      <c r="AD14" s="135"/>
      <c r="AE14" s="135"/>
    </row>
    <row r="15" spans="1:31" ht="16.9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5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4.6153508771931229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66"/>
      <c r="O15" s="66"/>
      <c r="P15" s="66"/>
      <c r="Q15" s="66"/>
      <c r="R15" s="66"/>
      <c r="S15" s="66"/>
      <c r="T15" s="66"/>
      <c r="U15" s="104"/>
      <c r="V15" s="41"/>
      <c r="W15" s="17"/>
      <c r="X15" s="96"/>
      <c r="Y15" s="96"/>
      <c r="Z15" s="133"/>
      <c r="AA15" s="96"/>
      <c r="AB15" s="135"/>
      <c r="AC15" s="135"/>
      <c r="AD15" s="135"/>
      <c r="AE15" s="135"/>
    </row>
    <row r="16" spans="1:31" ht="16.9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66"/>
      <c r="O16" s="66"/>
      <c r="P16" s="66"/>
      <c r="Q16" s="66"/>
      <c r="R16" s="66"/>
      <c r="S16" s="66"/>
      <c r="T16" s="66"/>
      <c r="U16" s="104"/>
      <c r="V16" s="41"/>
      <c r="W16" s="17"/>
      <c r="X16" s="96"/>
      <c r="Y16" s="96"/>
      <c r="Z16" s="133"/>
      <c r="AA16" s="96"/>
      <c r="AB16" s="135"/>
      <c r="AC16" s="135"/>
      <c r="AD16" s="135"/>
      <c r="AE16" s="135"/>
    </row>
    <row r="17" spans="1:31" ht="18.899999999999999" x14ac:dyDescent="0.35">
      <c r="A17" s="60">
        <f>Лист1!H$3</f>
        <v>8</v>
      </c>
      <c r="B17" s="13">
        <f>Лист1!H$7</f>
        <v>578.14970760233928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1.6344741644043184</v>
      </c>
      <c r="D17" s="15">
        <f>C17-E17</f>
        <v>0.86482790430451639</v>
      </c>
      <c r="E17" s="32">
        <f t="shared" si="2"/>
        <v>0.76964626009980197</v>
      </c>
      <c r="F17" s="78">
        <v>122</v>
      </c>
      <c r="G17" s="79">
        <v>122</v>
      </c>
      <c r="H17" s="79">
        <v>122</v>
      </c>
      <c r="I17" s="79">
        <v>122</v>
      </c>
      <c r="J17" s="79">
        <v>95.9896240234375</v>
      </c>
      <c r="K17" s="79"/>
      <c r="L17" s="79"/>
      <c r="M17" s="80"/>
      <c r="N17" s="66"/>
      <c r="O17" s="66"/>
      <c r="P17" s="66"/>
      <c r="Q17" s="66"/>
      <c r="R17" s="66"/>
      <c r="S17" s="66"/>
      <c r="T17" s="66"/>
      <c r="U17" s="104"/>
      <c r="V17" s="41"/>
      <c r="W17" s="17">
        <f>SUM(F17:T17)</f>
        <v>583.9896240234375</v>
      </c>
      <c r="X17" s="96">
        <v>48</v>
      </c>
      <c r="Y17" s="96">
        <v>4</v>
      </c>
      <c r="Z17" s="133">
        <v>95.9896240234375</v>
      </c>
      <c r="AA17" s="96"/>
      <c r="AB17" s="135"/>
      <c r="AC17" s="135"/>
      <c r="AD17" s="135"/>
      <c r="AE17" s="135"/>
    </row>
    <row r="18" spans="1:31" ht="16.9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5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4.4497076023393447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66"/>
      <c r="O18" s="66"/>
      <c r="P18" s="66"/>
      <c r="Q18" s="66"/>
      <c r="R18" s="66"/>
      <c r="S18" s="66"/>
      <c r="T18" s="66"/>
      <c r="U18" s="104"/>
      <c r="V18" s="41"/>
      <c r="W18" s="17"/>
      <c r="X18" s="96"/>
      <c r="Y18" s="96"/>
      <c r="Z18" s="133"/>
      <c r="AA18" s="96"/>
      <c r="AB18" s="135"/>
      <c r="AC18" s="135"/>
      <c r="AD18" s="135"/>
      <c r="AE18" s="135"/>
    </row>
    <row r="19" spans="1:31" ht="16.9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66"/>
      <c r="O19" s="66"/>
      <c r="P19" s="66"/>
      <c r="Q19" s="66"/>
      <c r="R19" s="66"/>
      <c r="S19" s="66"/>
      <c r="T19" s="66"/>
      <c r="U19" s="104"/>
      <c r="V19" s="41"/>
      <c r="W19" s="17"/>
      <c r="X19" s="96"/>
      <c r="Y19" s="96"/>
      <c r="Z19" s="133"/>
      <c r="AA19" s="96"/>
      <c r="AB19" s="135"/>
      <c r="AC19" s="135"/>
      <c r="AD19" s="135"/>
      <c r="AE19" s="135"/>
    </row>
    <row r="20" spans="1:31" ht="18.899999999999999" x14ac:dyDescent="0.35">
      <c r="A20" s="60">
        <f>Лист1!I$3</f>
        <v>8.5</v>
      </c>
      <c r="B20" s="13">
        <f>Лист1!I$7</f>
        <v>614.28406432748545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1.5113633686150709</v>
      </c>
      <c r="D20" s="15">
        <f>C20-E20</f>
        <v>0.97674680956745397</v>
      </c>
      <c r="E20" s="32">
        <f t="shared" si="2"/>
        <v>0.53461655904761696</v>
      </c>
      <c r="F20" s="78">
        <v>122</v>
      </c>
      <c r="G20" s="79">
        <v>109.9</v>
      </c>
      <c r="H20" s="79">
        <v>109.9</v>
      </c>
      <c r="I20" s="79">
        <v>109.9</v>
      </c>
      <c r="J20" s="79">
        <v>109.9</v>
      </c>
      <c r="K20" s="79">
        <v>58.888952636718727</v>
      </c>
      <c r="L20" s="79"/>
      <c r="M20" s="80"/>
      <c r="N20" s="66"/>
      <c r="O20" s="66"/>
      <c r="P20" s="66"/>
      <c r="Q20" s="66"/>
      <c r="R20" s="66"/>
      <c r="S20" s="66"/>
      <c r="T20" s="66"/>
      <c r="U20" s="104"/>
      <c r="V20" s="41"/>
      <c r="W20" s="17">
        <f>SUM(F20:T20)</f>
        <v>620.48895263671875</v>
      </c>
      <c r="X20" s="96">
        <v>51</v>
      </c>
      <c r="Y20" s="96">
        <v>5</v>
      </c>
      <c r="Z20" s="133">
        <v>10.48895263671875</v>
      </c>
      <c r="AA20" s="96">
        <v>44.51104736328125</v>
      </c>
      <c r="AB20" s="135">
        <v>4</v>
      </c>
      <c r="AC20" s="135">
        <v>5</v>
      </c>
      <c r="AD20" s="135">
        <v>1</v>
      </c>
      <c r="AE20" s="135">
        <v>4</v>
      </c>
    </row>
    <row r="21" spans="1:31" ht="16.95" hidden="1" x14ac:dyDescent="0.3">
      <c r="A21" s="58"/>
      <c r="B21" s="67"/>
      <c r="C21" s="19">
        <f>$C$8*
(SIGN($F20)+SIGN($G20)+SIGN($H20)+SIGN($I20)
+SIGN($J20)+SIGN($K20)+SIGN($L20)+SIGN($M20)
+SIGN($N20)+SIGN($O20)+SIGN($P20)+SIGN($Q20)
+SIGN($R20)+SIGN($S20)+SIGN($T20)+SIGN($V20))</f>
        <v>6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3.2840643274854528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66"/>
      <c r="O21" s="66"/>
      <c r="P21" s="66"/>
      <c r="Q21" s="66"/>
      <c r="R21" s="66"/>
      <c r="S21" s="66"/>
      <c r="T21" s="66"/>
      <c r="U21" s="104"/>
      <c r="V21" s="35"/>
      <c r="W21" s="35"/>
      <c r="X21" s="96"/>
      <c r="Y21" s="96"/>
      <c r="Z21" s="133"/>
      <c r="AA21" s="96"/>
      <c r="AB21" s="135"/>
      <c r="AC21" s="135"/>
      <c r="AD21" s="135"/>
      <c r="AE21" s="135"/>
    </row>
    <row r="22" spans="1:31" ht="16.95" hidden="1" x14ac:dyDescent="0.3">
      <c r="A22" s="58"/>
      <c r="B22" s="67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66"/>
      <c r="O22" s="66"/>
      <c r="P22" s="66"/>
      <c r="Q22" s="66"/>
      <c r="R22" s="66"/>
      <c r="S22" s="66"/>
      <c r="T22" s="66"/>
      <c r="U22" s="104"/>
      <c r="V22" s="35"/>
      <c r="W22" s="35"/>
      <c r="X22" s="96"/>
      <c r="Y22" s="96"/>
      <c r="Z22" s="133"/>
      <c r="AA22" s="96"/>
      <c r="AB22" s="135"/>
      <c r="AC22" s="135"/>
      <c r="AD22" s="135"/>
      <c r="AE22" s="135"/>
    </row>
    <row r="23" spans="1:31" ht="18.899999999999999" x14ac:dyDescent="0.35">
      <c r="A23" s="60">
        <f>Лист1!J$3</f>
        <v>9</v>
      </c>
      <c r="B23" s="13">
        <f>Лист1!J$7</f>
        <v>650.41842105263163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1.4019315501357572</v>
      </c>
      <c r="D23" s="15">
        <f>C23-E23</f>
        <v>0.92248309792481753</v>
      </c>
      <c r="E23" s="32">
        <f t="shared" si="2"/>
        <v>0.47944845221093962</v>
      </c>
      <c r="F23" s="78">
        <v>122</v>
      </c>
      <c r="G23" s="79">
        <v>122</v>
      </c>
      <c r="H23" s="79">
        <v>122</v>
      </c>
      <c r="I23" s="79">
        <v>122</v>
      </c>
      <c r="J23" s="79">
        <v>109.9</v>
      </c>
      <c r="K23" s="79">
        <v>59.088281250000023</v>
      </c>
      <c r="L23" s="79"/>
      <c r="M23" s="80"/>
      <c r="N23" s="41"/>
      <c r="O23" s="38"/>
      <c r="P23" s="38"/>
      <c r="Q23" s="38"/>
      <c r="R23" s="39"/>
      <c r="S23" s="63"/>
      <c r="T23" s="63"/>
      <c r="U23" s="102"/>
      <c r="V23" s="41"/>
      <c r="W23" s="17">
        <f>SUM(F23:T23)</f>
        <v>656.98828125</v>
      </c>
      <c r="X23" s="96">
        <v>54</v>
      </c>
      <c r="Y23" s="96">
        <v>5</v>
      </c>
      <c r="Z23" s="133">
        <v>46.98828125</v>
      </c>
      <c r="AA23" s="137">
        <v>8.01171875</v>
      </c>
      <c r="AB23" s="135">
        <v>1</v>
      </c>
      <c r="AC23" s="135">
        <v>5</v>
      </c>
      <c r="AD23" s="135">
        <v>1</v>
      </c>
      <c r="AE23" s="135">
        <v>1</v>
      </c>
    </row>
    <row r="24" spans="1:31" ht="16.9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6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3.1184210526316747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133"/>
      <c r="AA24" s="138"/>
      <c r="AB24" s="135"/>
      <c r="AC24" s="135"/>
      <c r="AD24" s="135"/>
      <c r="AE24" s="135"/>
    </row>
    <row r="25" spans="1:31" ht="16.9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63"/>
      <c r="T25" s="63"/>
      <c r="U25" s="102"/>
      <c r="V25" s="41"/>
      <c r="W25" s="17"/>
      <c r="X25" s="135"/>
      <c r="Y25" s="135"/>
      <c r="Z25" s="133"/>
      <c r="AA25" s="138"/>
      <c r="AB25" s="135"/>
      <c r="AC25" s="135"/>
      <c r="AD25" s="135"/>
      <c r="AE25" s="135"/>
    </row>
    <row r="26" spans="1:31" ht="18.899999999999999" x14ac:dyDescent="0.35">
      <c r="A26" s="60">
        <f>Лист1!K$3</f>
        <v>9.5</v>
      </c>
      <c r="B26" s="13">
        <f>Лист1!K$7</f>
        <v>686.55277777777792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1.3040188704437394</v>
      </c>
      <c r="D26" s="15">
        <f>C26-E26</f>
        <v>1.3040188704437394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83.4876708984375</v>
      </c>
      <c r="L26" s="79"/>
      <c r="M26" s="80"/>
      <c r="N26" s="41"/>
      <c r="O26" s="38"/>
      <c r="P26" s="38"/>
      <c r="Q26" s="38"/>
      <c r="R26" s="39"/>
      <c r="S26" s="63"/>
      <c r="T26" s="63"/>
      <c r="U26" s="102"/>
      <c r="V26" s="41"/>
      <c r="W26" s="17">
        <f>SUM(F26:T26)</f>
        <v>693.4876708984375</v>
      </c>
      <c r="X26" s="96">
        <v>57</v>
      </c>
      <c r="Y26" s="96">
        <v>5</v>
      </c>
      <c r="Z26" s="133">
        <v>83.4876708984375</v>
      </c>
      <c r="AA26" s="137"/>
      <c r="AB26" s="135"/>
      <c r="AC26" s="135"/>
      <c r="AD26" s="135"/>
      <c r="AE26" s="135"/>
    </row>
    <row r="27" spans="1:31" ht="16.9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6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2.9527777777778965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133"/>
      <c r="AA27" s="135"/>
      <c r="AB27" s="135"/>
      <c r="AC27" s="135"/>
      <c r="AD27" s="135"/>
      <c r="AE27" s="135"/>
    </row>
    <row r="28" spans="1:31" ht="16.9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63"/>
      <c r="T28" s="63"/>
      <c r="U28" s="102"/>
      <c r="V28" s="41"/>
      <c r="W28" s="17"/>
      <c r="X28" s="135"/>
      <c r="Y28" s="135"/>
      <c r="Z28" s="133"/>
      <c r="AA28" s="135"/>
      <c r="AB28" s="135"/>
      <c r="AC28" s="135"/>
      <c r="AD28" s="135"/>
      <c r="AE28" s="135"/>
    </row>
    <row r="29" spans="1:31" ht="18.899999999999999" x14ac:dyDescent="0.35">
      <c r="A29" s="60">
        <f>Лист1!L$3</f>
        <v>10</v>
      </c>
      <c r="B29" s="13">
        <f>Лист1!L$7</f>
        <v>722.6871345029241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1.2158974587209237</v>
      </c>
      <c r="D29" s="15">
        <f>C29-E29</f>
        <v>1.2158974587209237</v>
      </c>
      <c r="E29" s="32">
        <f t="shared" si="2"/>
        <v>0</v>
      </c>
      <c r="F29" s="78">
        <v>122</v>
      </c>
      <c r="G29" s="79">
        <v>109.9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58.48699951171875</v>
      </c>
      <c r="M29" s="80"/>
      <c r="N29" s="41"/>
      <c r="O29" s="38"/>
      <c r="P29" s="38"/>
      <c r="Q29" s="38"/>
      <c r="R29" s="39"/>
      <c r="S29" s="63"/>
      <c r="T29" s="63"/>
      <c r="U29" s="102"/>
      <c r="V29" s="41"/>
      <c r="W29" s="17">
        <f>SUM(F29:T29)</f>
        <v>729.98699951171875</v>
      </c>
      <c r="X29" s="140">
        <v>60</v>
      </c>
      <c r="Y29" s="140">
        <v>6</v>
      </c>
      <c r="Z29" s="133">
        <v>-2.01300048828125</v>
      </c>
      <c r="AA29" s="135">
        <v>57.01300048828125</v>
      </c>
      <c r="AB29" s="135">
        <v>5</v>
      </c>
      <c r="AC29" s="135">
        <v>5</v>
      </c>
      <c r="AD29" s="135">
        <v>1</v>
      </c>
      <c r="AE29" s="135">
        <v>5</v>
      </c>
    </row>
    <row r="30" spans="1:31" ht="18.899999999999999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7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1.7871345029241184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133"/>
      <c r="AA30" s="135"/>
      <c r="AB30" s="135"/>
      <c r="AC30" s="135"/>
      <c r="AD30" s="135"/>
      <c r="AE30" s="135"/>
    </row>
    <row r="31" spans="1:31" ht="18.899999999999999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63"/>
      <c r="T31" s="63"/>
      <c r="U31" s="102"/>
      <c r="V31" s="41"/>
      <c r="W31" s="17"/>
      <c r="X31" s="135"/>
      <c r="Y31" s="135"/>
      <c r="Z31" s="133"/>
      <c r="AA31" s="135"/>
      <c r="AB31" s="135"/>
      <c r="AC31" s="135"/>
      <c r="AD31" s="135"/>
      <c r="AE31" s="135"/>
    </row>
    <row r="32" spans="1:31" ht="18.899999999999999" x14ac:dyDescent="0.35">
      <c r="A32" s="60">
        <f>Лист1!M$3</f>
        <v>10.5</v>
      </c>
      <c r="B32" s="13">
        <f>Лист1!M$7</f>
        <v>758.82149122807027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1.1361685624002809</v>
      </c>
      <c r="D32" s="15">
        <f>C32-E32</f>
        <v>1.1361685624002809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109.9</v>
      </c>
      <c r="K32" s="79">
        <v>109.9</v>
      </c>
      <c r="L32" s="79">
        <v>58.686328125000045</v>
      </c>
      <c r="M32" s="80"/>
      <c r="N32" s="41"/>
      <c r="O32" s="38"/>
      <c r="P32" s="38"/>
      <c r="Q32" s="38"/>
      <c r="R32" s="39"/>
      <c r="S32" s="63"/>
      <c r="T32" s="63"/>
      <c r="U32" s="102"/>
      <c r="V32" s="41"/>
      <c r="W32" s="17">
        <f>SUM(F32:T32)</f>
        <v>766.486328125</v>
      </c>
      <c r="X32" s="96">
        <v>63</v>
      </c>
      <c r="Y32" s="96">
        <v>6</v>
      </c>
      <c r="Z32" s="133">
        <v>34.486328125</v>
      </c>
      <c r="AA32" s="135">
        <v>20.513671875</v>
      </c>
      <c r="AB32" s="135">
        <v>2</v>
      </c>
      <c r="AC32" s="135">
        <v>5</v>
      </c>
      <c r="AD32" s="135">
        <v>1</v>
      </c>
      <c r="AE32" s="135">
        <v>2</v>
      </c>
    </row>
    <row r="33" spans="1:31" ht="18.899999999999999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7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1.6214912280703402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133"/>
      <c r="AA33" s="135"/>
      <c r="AB33" s="135"/>
      <c r="AC33" s="135"/>
      <c r="AD33" s="135"/>
      <c r="AE33" s="135"/>
    </row>
    <row r="34" spans="1:31" ht="18.899999999999999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63"/>
      <c r="T34" s="63"/>
      <c r="U34" s="102"/>
      <c r="V34" s="41"/>
      <c r="W34" s="17"/>
      <c r="X34" s="135"/>
      <c r="Y34" s="135"/>
      <c r="Z34" s="133"/>
      <c r="AA34" s="135"/>
      <c r="AB34" s="135"/>
      <c r="AC34" s="135"/>
      <c r="AD34" s="135"/>
      <c r="AE34" s="135"/>
    </row>
    <row r="35" spans="1:31" ht="18.899999999999999" x14ac:dyDescent="0.35">
      <c r="A35" s="60">
        <f>Лист1!N$3</f>
        <v>11</v>
      </c>
      <c r="B35" s="13">
        <f>Лист1!N$7</f>
        <v>794.95584795321656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1.0636877475633328</v>
      </c>
      <c r="D35" s="15">
        <f>C35-E35</f>
        <v>1.0636877475633328</v>
      </c>
      <c r="E35" s="32">
        <f t="shared" si="2"/>
        <v>0</v>
      </c>
      <c r="F35" s="78">
        <v>122</v>
      </c>
      <c r="G35" s="79">
        <v>122</v>
      </c>
      <c r="H35" s="79">
        <v>122</v>
      </c>
      <c r="I35" s="79">
        <v>122</v>
      </c>
      <c r="J35" s="79">
        <v>122</v>
      </c>
      <c r="K35" s="79">
        <v>122</v>
      </c>
      <c r="L35" s="79">
        <v>70.9857177734375</v>
      </c>
      <c r="M35" s="80"/>
      <c r="N35" s="41"/>
      <c r="O35" s="38"/>
      <c r="P35" s="38"/>
      <c r="Q35" s="38"/>
      <c r="R35" s="39"/>
      <c r="S35" s="63"/>
      <c r="T35" s="63"/>
      <c r="U35" s="102"/>
      <c r="V35" s="41"/>
      <c r="W35" s="17">
        <f>SUM(F35:T35)</f>
        <v>802.9857177734375</v>
      </c>
      <c r="X35" s="96">
        <v>66</v>
      </c>
      <c r="Y35" s="96">
        <v>6</v>
      </c>
      <c r="Z35" s="133">
        <v>70.9857177734375</v>
      </c>
      <c r="AA35" s="135"/>
      <c r="AB35" s="135"/>
      <c r="AC35" s="135"/>
      <c r="AD35" s="135"/>
      <c r="AE35" s="135"/>
    </row>
    <row r="36" spans="1:31" ht="18.899999999999999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7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1.455847953216562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133"/>
      <c r="AA36" s="135"/>
      <c r="AB36" s="135"/>
      <c r="AC36" s="135"/>
      <c r="AD36" s="135"/>
      <c r="AE36" s="135"/>
    </row>
    <row r="37" spans="1:31" ht="18.899999999999999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63"/>
      <c r="T37" s="63"/>
      <c r="U37" s="102"/>
      <c r="V37" s="41"/>
      <c r="W37" s="17"/>
      <c r="X37" s="135"/>
      <c r="Y37" s="135"/>
      <c r="Z37" s="133"/>
      <c r="AA37" s="135"/>
      <c r="AB37" s="135"/>
      <c r="AC37" s="135"/>
      <c r="AD37" s="135"/>
      <c r="AE37" s="135"/>
    </row>
    <row r="38" spans="1:31" ht="18.899999999999999" x14ac:dyDescent="0.35">
      <c r="A38" s="60">
        <f>Лист1!O$3</f>
        <v>11.2</v>
      </c>
      <c r="B38" s="13">
        <f>Лист1!O$7</f>
        <v>809.4095906432749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1.3354908032018742</v>
      </c>
      <c r="D38" s="15">
        <f>C38-E38</f>
        <v>0.8648279043045165</v>
      </c>
      <c r="E38" s="32">
        <f t="shared" si="2"/>
        <v>0.47066289889735768</v>
      </c>
      <c r="F38" s="78">
        <v>122</v>
      </c>
      <c r="G38" s="79">
        <v>122</v>
      </c>
      <c r="H38" s="79">
        <v>122</v>
      </c>
      <c r="I38" s="79">
        <v>122</v>
      </c>
      <c r="J38" s="79">
        <v>122</v>
      </c>
      <c r="K38" s="79">
        <v>122</v>
      </c>
      <c r="L38" s="79">
        <v>85.58544921875</v>
      </c>
      <c r="M38" s="80"/>
      <c r="N38" s="41"/>
      <c r="O38" s="38"/>
      <c r="P38" s="38"/>
      <c r="Q38" s="38"/>
      <c r="R38" s="39"/>
      <c r="S38" s="63"/>
      <c r="T38" s="63"/>
      <c r="U38" s="102"/>
      <c r="V38" s="41"/>
      <c r="W38" s="17">
        <f>SUM(F38:T38)</f>
        <v>817.58544921875</v>
      </c>
      <c r="X38" s="135">
        <v>67</v>
      </c>
      <c r="Y38" s="135">
        <v>6</v>
      </c>
      <c r="Z38" s="133">
        <v>85.58544921875</v>
      </c>
      <c r="AA38" s="135"/>
      <c r="AB38" s="135"/>
      <c r="AC38" s="135"/>
      <c r="AD38" s="135"/>
      <c r="AE38" s="135"/>
    </row>
    <row r="39" spans="1:31" ht="18.899999999999999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7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3.8095906432748734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133"/>
      <c r="AA39" s="135"/>
      <c r="AB39" s="135"/>
      <c r="AC39" s="135"/>
      <c r="AD39" s="135"/>
      <c r="AE39" s="135"/>
    </row>
    <row r="40" spans="1:31" ht="18.899999999999999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63"/>
      <c r="T40" s="63"/>
      <c r="U40" s="102"/>
      <c r="V40" s="41"/>
      <c r="W40" s="17"/>
      <c r="X40" s="135"/>
      <c r="Y40" s="135"/>
      <c r="Z40" s="133"/>
      <c r="AA40" s="135"/>
      <c r="AB40" s="135"/>
      <c r="AC40" s="135"/>
      <c r="AD40" s="135"/>
      <c r="AE40" s="135"/>
    </row>
    <row r="41" spans="1:31" ht="18.899999999999999" x14ac:dyDescent="0.35">
      <c r="A41" s="60">
        <f>Лист1!P$3</f>
        <v>11.4</v>
      </c>
      <c r="B41" s="13">
        <f>Лист1!P$7</f>
        <v>823.86333333333346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0.12906671413950166</v>
      </c>
      <c r="D41" s="15">
        <f>C41-E41</f>
        <v>0.12906671413950166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122</v>
      </c>
      <c r="L41" s="79">
        <v>100.1851806640625</v>
      </c>
      <c r="M41" s="80"/>
      <c r="N41" s="41"/>
      <c r="O41" s="38"/>
      <c r="P41" s="38"/>
      <c r="Q41" s="38"/>
      <c r="R41" s="39"/>
      <c r="S41" s="63"/>
      <c r="T41" s="63"/>
      <c r="U41" s="102"/>
      <c r="V41" s="41"/>
      <c r="W41" s="17">
        <f>SUM(F41:T41)</f>
        <v>832.1851806640625</v>
      </c>
      <c r="X41" s="135">
        <v>68</v>
      </c>
      <c r="Y41" s="135">
        <v>6</v>
      </c>
      <c r="Z41" s="133">
        <v>100.1851806640625</v>
      </c>
      <c r="AA41" s="135"/>
      <c r="AB41" s="135"/>
      <c r="AC41" s="135"/>
      <c r="AD41" s="135"/>
      <c r="AE41" s="135"/>
    </row>
    <row r="42" spans="1:31" ht="18.899999999999999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7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-5.9366666666664969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133"/>
      <c r="AA42" s="135"/>
      <c r="AB42" s="135"/>
      <c r="AC42" s="135"/>
      <c r="AD42" s="135"/>
      <c r="AE42" s="135"/>
    </row>
    <row r="43" spans="1:31" ht="18.899999999999999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63"/>
      <c r="T43" s="63"/>
      <c r="U43" s="102"/>
      <c r="V43" s="41"/>
      <c r="W43" s="17"/>
      <c r="X43" s="135"/>
      <c r="Y43" s="135"/>
      <c r="Z43" s="133"/>
      <c r="AA43" s="135"/>
      <c r="AB43" s="135"/>
      <c r="AC43" s="135"/>
      <c r="AD43" s="135"/>
      <c r="AE43" s="135"/>
    </row>
    <row r="44" spans="1:31" ht="18.899999999999999" x14ac:dyDescent="0.35">
      <c r="A44" s="60">
        <f>Лист1!Q$3</f>
        <v>11.6</v>
      </c>
      <c r="B44" s="27">
        <f>Лист1!Q$7</f>
        <v>838.31707602339191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0.40761140636679333</v>
      </c>
      <c r="D44" s="15">
        <f>C44-E44</f>
        <v>0.40761140636679333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114.784912109375</v>
      </c>
      <c r="M44" s="86"/>
      <c r="N44" s="41"/>
      <c r="O44" s="38"/>
      <c r="P44" s="38"/>
      <c r="Q44" s="38"/>
      <c r="R44" s="39"/>
      <c r="S44" s="63"/>
      <c r="T44" s="63"/>
      <c r="U44" s="102"/>
      <c r="V44" s="171"/>
      <c r="W44" s="28">
        <f>SUM(F44:T44)</f>
        <v>846.784912109375</v>
      </c>
      <c r="X44" s="135">
        <v>69</v>
      </c>
      <c r="Y44" s="135">
        <v>6</v>
      </c>
      <c r="Z44" s="133">
        <v>114.784912109375</v>
      </c>
      <c r="AA44" s="135"/>
      <c r="AB44" s="135"/>
      <c r="AC44" s="135"/>
      <c r="AD44" s="135"/>
      <c r="AE44" s="135"/>
    </row>
    <row r="45" spans="1:31" ht="18.899999999999999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7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-3.5829239766080718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133"/>
      <c r="AA45" s="135"/>
      <c r="AB45" s="135"/>
      <c r="AC45" s="135"/>
      <c r="AD45" s="135"/>
      <c r="AE45" s="135"/>
    </row>
    <row r="46" spans="1:31" ht="18.899999999999999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63"/>
      <c r="T46" s="63"/>
      <c r="U46" s="102"/>
      <c r="V46" s="41"/>
      <c r="W46" s="17"/>
      <c r="X46" s="135"/>
      <c r="Y46" s="135"/>
      <c r="Z46" s="133"/>
      <c r="AA46" s="135"/>
      <c r="AB46" s="135"/>
      <c r="AC46" s="135"/>
      <c r="AD46" s="135"/>
      <c r="AE46" s="135"/>
    </row>
    <row r="47" spans="1:31" ht="18.899999999999999" x14ac:dyDescent="0.35">
      <c r="A47" s="60">
        <f>Лист1!R$3</f>
        <v>11.8</v>
      </c>
      <c r="B47" s="13">
        <f>Лист1!R$7</f>
        <v>852.77081871345047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0.67671390563724099</v>
      </c>
      <c r="D47" s="15">
        <f>C47-E47</f>
        <v>0.67671390563724099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109.9</v>
      </c>
      <c r="J47" s="79">
        <v>109.9</v>
      </c>
      <c r="K47" s="79">
        <v>109.9</v>
      </c>
      <c r="L47" s="79">
        <v>109.9</v>
      </c>
      <c r="M47" s="80">
        <v>55.784643554687591</v>
      </c>
      <c r="N47" s="41"/>
      <c r="O47" s="38"/>
      <c r="P47" s="38"/>
      <c r="Q47" s="38"/>
      <c r="R47" s="39"/>
      <c r="S47" s="63"/>
      <c r="T47" s="63"/>
      <c r="U47" s="102"/>
      <c r="V47" s="41"/>
      <c r="W47" s="17">
        <f>SUM(F47:T47)</f>
        <v>861.3846435546875</v>
      </c>
      <c r="X47" s="135">
        <v>71</v>
      </c>
      <c r="Y47" s="135">
        <v>7</v>
      </c>
      <c r="Z47" s="133">
        <v>7.3846435546875</v>
      </c>
      <c r="AA47" s="135">
        <v>47.6153564453125</v>
      </c>
      <c r="AB47" s="135">
        <v>4</v>
      </c>
      <c r="AC47" s="135">
        <v>5</v>
      </c>
      <c r="AD47" s="135">
        <v>1</v>
      </c>
      <c r="AE47" s="135">
        <v>4</v>
      </c>
    </row>
    <row r="48" spans="1:31" ht="18.899999999999999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8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-2.2291812865495331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133"/>
      <c r="AA48" s="135"/>
      <c r="AB48" s="135"/>
      <c r="AC48" s="135"/>
      <c r="AD48" s="135"/>
      <c r="AE48" s="135"/>
    </row>
    <row r="49" spans="1:32" ht="18.899999999999999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63"/>
      <c r="T49" s="63"/>
      <c r="U49" s="102"/>
      <c r="V49" s="41"/>
      <c r="W49" s="17"/>
      <c r="X49" s="135"/>
      <c r="Y49" s="135"/>
      <c r="Z49" s="133"/>
      <c r="AA49" s="135"/>
      <c r="AB49" s="135"/>
      <c r="AC49" s="135"/>
      <c r="AD49" s="135"/>
      <c r="AE49" s="135"/>
    </row>
    <row r="50" spans="1:32" ht="18" x14ac:dyDescent="0.35">
      <c r="A50" s="60">
        <f>Лист1!S$3</f>
        <v>12</v>
      </c>
      <c r="B50" s="13">
        <f>Лист1!S$7</f>
        <v>867.22456140350891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0.93684632159866077</v>
      </c>
      <c r="D50" s="15">
        <f>C50-E50</f>
        <v>0.93684632159866077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109.9</v>
      </c>
      <c r="K50" s="88">
        <v>109.9</v>
      </c>
      <c r="L50" s="88">
        <v>109.9</v>
      </c>
      <c r="M50" s="89">
        <v>58.284375000000068</v>
      </c>
      <c r="N50" s="41"/>
      <c r="O50" s="38"/>
      <c r="P50" s="38"/>
      <c r="Q50" s="38"/>
      <c r="R50" s="39"/>
      <c r="S50" s="63"/>
      <c r="T50" s="63"/>
      <c r="U50" s="102"/>
      <c r="V50" s="41"/>
      <c r="W50" s="17">
        <f>SUM(F50:T50)</f>
        <v>875.984375</v>
      </c>
      <c r="X50" s="135">
        <v>72</v>
      </c>
      <c r="Y50" s="135">
        <v>7</v>
      </c>
      <c r="Z50" s="133">
        <v>21.984375</v>
      </c>
      <c r="AA50" s="137">
        <v>33.015625</v>
      </c>
      <c r="AB50" s="135">
        <v>3</v>
      </c>
      <c r="AC50" s="135">
        <v>5</v>
      </c>
      <c r="AD50" s="135">
        <v>1</v>
      </c>
      <c r="AE50" s="135">
        <v>3</v>
      </c>
    </row>
    <row r="51" spans="1:32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8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0.124561403508892</v>
      </c>
      <c r="E51" s="129">
        <f>B50</f>
        <v>867.22456140350891</v>
      </c>
      <c r="F51" s="20"/>
      <c r="G51" s="26"/>
      <c r="H51" s="26"/>
      <c r="I51" s="26"/>
      <c r="J51" s="26"/>
      <c r="K51" s="26"/>
      <c r="L51" s="26"/>
      <c r="M51" s="26"/>
      <c r="N51" s="42"/>
      <c r="O51" s="43"/>
      <c r="P51" s="21"/>
      <c r="Q51" s="21"/>
      <c r="R51" s="42"/>
      <c r="S51" s="21"/>
      <c r="T51" s="21"/>
      <c r="U51" s="21"/>
      <c r="V51" s="41"/>
      <c r="W51" s="17"/>
      <c r="X51" s="135"/>
      <c r="Y51" s="135"/>
      <c r="Z51" s="133"/>
      <c r="AA51" s="135"/>
      <c r="AB51" s="135"/>
      <c r="AC51" s="135"/>
      <c r="AD51" s="135"/>
      <c r="AE51" s="135"/>
    </row>
    <row r="52" spans="1:32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8.876286791358563</v>
      </c>
      <c r="F52" s="54"/>
      <c r="G52" s="53"/>
      <c r="H52" s="53"/>
      <c r="I52" s="53"/>
      <c r="J52" s="53"/>
      <c r="K52" s="53"/>
      <c r="L52" s="53"/>
      <c r="M52" s="53"/>
      <c r="P52" s="38"/>
      <c r="Q52" s="38"/>
      <c r="R52" s="39"/>
      <c r="S52" s="63"/>
      <c r="T52" s="63"/>
      <c r="U52" s="102"/>
      <c r="V52" s="41"/>
      <c r="W52" s="17"/>
      <c r="X52" s="135"/>
      <c r="Y52" s="135"/>
      <c r="Z52" s="133"/>
      <c r="AA52" s="135"/>
      <c r="AB52" s="135"/>
      <c r="AC52" s="135"/>
      <c r="AD52" s="135"/>
      <c r="AE52" s="135"/>
    </row>
    <row r="53" spans="1:32" ht="17.399999999999999" x14ac:dyDescent="0.35">
      <c r="B53" s="30" t="s">
        <v>28</v>
      </c>
      <c r="C53" s="31">
        <f>AVERAGE(C11,C14,C17,C20,C23,C26,C29,C32,C35,C38,C41,C44,C47,C50,)</f>
        <v>1.0973818754533116</v>
      </c>
      <c r="D53" s="31">
        <f>AVERAGE(D11,D14,D17,D20,D23,D26,D29,D32,D35,D38,D41,D44,D47,D50,)</f>
        <v>0.84049529988190019</v>
      </c>
      <c r="E53" s="31">
        <f>AVERAGE(E11,E14,E17,E20,E23,E26,E29,E32,E35,E38,E41,E44,E47,E50,)</f>
        <v>0.25688657557141109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63"/>
      <c r="T53" s="63"/>
      <c r="U53" s="102"/>
      <c r="V53" s="41"/>
      <c r="W53" s="17"/>
      <c r="X53" s="96" t="s">
        <v>48</v>
      </c>
      <c r="Y53" s="96" t="s">
        <v>4</v>
      </c>
      <c r="Z53" s="133" t="s">
        <v>49</v>
      </c>
      <c r="AA53" s="96" t="s">
        <v>50</v>
      </c>
      <c r="AB53" s="96" t="s">
        <v>51</v>
      </c>
      <c r="AC53" s="96" t="s">
        <v>52</v>
      </c>
      <c r="AD53" s="96" t="s">
        <v>60</v>
      </c>
      <c r="AE53" s="96" t="s">
        <v>61</v>
      </c>
    </row>
    <row r="54" spans="1:32" ht="17.399999999999999" x14ac:dyDescent="0.35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68"/>
      <c r="T54" s="68"/>
      <c r="U54" s="102"/>
      <c r="V54" s="41"/>
      <c r="W54" s="17"/>
      <c r="X54" s="135"/>
      <c r="Y54" s="135"/>
      <c r="Z54" s="133"/>
      <c r="AA54" s="135"/>
      <c r="AB54" s="135"/>
      <c r="AC54" s="135"/>
      <c r="AD54" s="135"/>
      <c r="AE54" s="135"/>
    </row>
    <row r="55" spans="1:32" ht="17.399999999999999" x14ac:dyDescent="0.35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68"/>
      <c r="T55" s="68"/>
      <c r="U55" s="102"/>
      <c r="V55" s="41"/>
      <c r="W55" s="17"/>
      <c r="X55" s="135"/>
      <c r="Y55" s="135"/>
      <c r="Z55" s="133"/>
      <c r="AA55" s="135"/>
      <c r="AB55" s="135"/>
      <c r="AC55" s="135"/>
      <c r="AD55" s="135"/>
      <c r="AE55" s="135"/>
    </row>
    <row r="56" spans="1:32" ht="17.399999999999999" x14ac:dyDescent="0.35">
      <c r="B56" s="29"/>
      <c r="V56" s="38"/>
      <c r="W56" s="40"/>
      <c r="X56" s="135"/>
      <c r="Y56" s="135"/>
      <c r="Z56" s="133"/>
      <c r="AA56" s="135"/>
      <c r="AB56" s="135"/>
      <c r="AC56" s="135"/>
      <c r="AD56" s="135"/>
      <c r="AE56" s="135"/>
    </row>
    <row r="57" spans="1:32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" si="3">I57-1</f>
        <v>8</v>
      </c>
      <c r="K57" s="127">
        <f t="shared" ref="K57" si="4">J57-1</f>
        <v>7</v>
      </c>
      <c r="L57" s="127">
        <f t="shared" ref="L57" si="5">K57-1</f>
        <v>6</v>
      </c>
      <c r="M57" s="127">
        <f t="shared" ref="M57" si="6">L57-1</f>
        <v>5</v>
      </c>
      <c r="V57" s="169"/>
      <c r="W57" s="73"/>
      <c r="X57" s="139"/>
      <c r="Y57" s="139"/>
      <c r="Z57" s="134"/>
      <c r="AA57" s="136"/>
      <c r="AB57" s="136"/>
      <c r="AC57" s="136"/>
      <c r="AD57" s="136"/>
      <c r="AE57" s="136"/>
    </row>
    <row r="58" spans="1:32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7">K57*$C57+$C58</f>
        <v>85.7</v>
      </c>
      <c r="L58" s="128">
        <f t="shared" si="7"/>
        <v>73.599999999999994</v>
      </c>
      <c r="M58" s="128">
        <f t="shared" si="7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4"/>
      <c r="AA58" s="136"/>
      <c r="AB58" s="136"/>
      <c r="AC58" s="136"/>
      <c r="AD58" s="136"/>
      <c r="AE58" s="136"/>
    </row>
    <row r="59" spans="1:32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0"/>
      <c r="O59" s="100">
        <v>10</v>
      </c>
      <c r="P59" s="100">
        <v>11</v>
      </c>
      <c r="Q59" s="100">
        <v>12</v>
      </c>
      <c r="R59" s="100">
        <v>13</v>
      </c>
      <c r="S59" s="100">
        <v>14</v>
      </c>
      <c r="T59" s="100">
        <v>15</v>
      </c>
      <c r="U59" s="104"/>
      <c r="V59" s="172" t="s">
        <v>69</v>
      </c>
      <c r="W59" s="35"/>
      <c r="X59" s="96"/>
      <c r="Y59" s="96"/>
      <c r="Z59" s="133"/>
      <c r="AA59" s="96"/>
      <c r="AB59" s="135"/>
      <c r="AC59" s="135"/>
      <c r="AD59" s="135"/>
      <c r="AE59" s="135"/>
    </row>
    <row r="60" spans="1:32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0"/>
      <c r="O60" s="100"/>
      <c r="P60" s="100"/>
      <c r="Q60" s="100"/>
      <c r="R60" s="100"/>
      <c r="S60" s="100"/>
      <c r="T60" s="100"/>
      <c r="U60" s="104"/>
      <c r="V60" s="203">
        <f>($E$57+$E$58)/2</f>
        <v>100</v>
      </c>
      <c r="W60" s="35"/>
      <c r="X60" s="96" t="s">
        <v>48</v>
      </c>
      <c r="Y60" s="96" t="s">
        <v>4</v>
      </c>
      <c r="Z60" s="133" t="s">
        <v>49</v>
      </c>
      <c r="AA60" s="96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2" ht="18" x14ac:dyDescent="0.35">
      <c r="A61" s="60">
        <f>Лист1!F$3</f>
        <v>7</v>
      </c>
      <c r="B61" s="13">
        <f>Лист1!F$7</f>
        <v>505.88099415204687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1.9334575256067319</v>
      </c>
      <c r="D61" s="15">
        <f>C61-E61</f>
        <v>0.98837474777659029</v>
      </c>
      <c r="E61" s="32">
        <f>IF(D62 &gt; $D$60,D62/$B61*100,0)</f>
        <v>0.94508277783014161</v>
      </c>
      <c r="F61" s="78">
        <v>109.9</v>
      </c>
      <c r="G61" s="79">
        <v>109.9</v>
      </c>
      <c r="H61" s="79">
        <v>97.8</v>
      </c>
      <c r="I61" s="79">
        <v>97.8</v>
      </c>
      <c r="J61" s="79">
        <v>95.590905761718716</v>
      </c>
      <c r="K61" s="107"/>
      <c r="L61" s="107"/>
      <c r="M61" s="108"/>
      <c r="N61" s="100"/>
      <c r="O61" s="100"/>
      <c r="P61" s="100"/>
      <c r="Q61" s="100"/>
      <c r="R61" s="100"/>
      <c r="S61" s="100"/>
      <c r="T61" s="100"/>
      <c r="U61" s="104"/>
      <c r="V61" s="41"/>
      <c r="W61" s="17">
        <f t="shared" ref="W61:W70" si="8">SUM(F61:T61)</f>
        <v>510.99090576171875</v>
      </c>
      <c r="X61" s="96">
        <v>42</v>
      </c>
      <c r="Y61" s="96">
        <v>4</v>
      </c>
      <c r="Z61" s="133">
        <v>22.99090576171875</v>
      </c>
      <c r="AA61" s="96">
        <v>52.00909423828125</v>
      </c>
      <c r="AB61" s="135">
        <v>5</v>
      </c>
      <c r="AC61" s="135">
        <v>3</v>
      </c>
      <c r="AD61" s="135">
        <v>2</v>
      </c>
      <c r="AE61" s="135">
        <v>4</v>
      </c>
      <c r="AF61" s="12">
        <v>12.1</v>
      </c>
    </row>
    <row r="62" spans="1:32" ht="16.95" hidden="1" x14ac:dyDescent="0.3">
      <c r="A62" s="58"/>
      <c r="B62" s="23"/>
      <c r="C62" s="19">
        <f>$C$58*
(SIGN($F61)+SIGN($G61)+SIGN($H61)+SIGN($I61)
+SIGN($J61)+SIGN($K61)+SIGN($L61)+SIGN($M61)
+SIGN($N61)+SIGN($O61)+SIGN($P61)+SIGN($Q61)
+SIGN($R61)+SIGN($S61)+SIGN($T61)+SIGN($V61))</f>
        <v>5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4.780994152046901</v>
      </c>
      <c r="E62" s="129">
        <f>B61</f>
        <v>505.88099415204687</v>
      </c>
      <c r="F62" s="78"/>
      <c r="G62" s="79"/>
      <c r="H62" s="79"/>
      <c r="I62" s="79"/>
      <c r="J62" s="79"/>
      <c r="K62" s="107"/>
      <c r="L62" s="107"/>
      <c r="M62" s="108"/>
      <c r="N62" s="100"/>
      <c r="O62" s="100"/>
      <c r="P62" s="100"/>
      <c r="Q62" s="100"/>
      <c r="R62" s="100"/>
      <c r="S62" s="100"/>
      <c r="T62" s="100"/>
      <c r="U62" s="104"/>
      <c r="V62" s="41"/>
      <c r="W62" s="17"/>
      <c r="X62" s="96"/>
      <c r="Y62" s="96"/>
      <c r="Z62" s="133"/>
      <c r="AA62" s="96"/>
      <c r="AB62" s="135"/>
      <c r="AC62" s="135"/>
      <c r="AD62" s="135"/>
      <c r="AE62" s="135"/>
    </row>
    <row r="63" spans="1:32" ht="16.95" hidden="1" x14ac:dyDescent="0.3">
      <c r="A63" s="58"/>
      <c r="B63" s="99"/>
      <c r="C63" s="22"/>
      <c r="D63" s="22"/>
      <c r="E63" s="22">
        <f>IF(B61&gt;0,(B61/ROUNDUP(ROUNDUP(((B61-($C$58*ROUNDUP(B61/$H$58,0)))/$C$57),0)/$H$57,0)-$C$58)/$C$57,0-$C$58/$C$57)</f>
        <v>8.2790246967280474</v>
      </c>
      <c r="F63" s="78"/>
      <c r="G63" s="79"/>
      <c r="H63" s="79"/>
      <c r="I63" s="79"/>
      <c r="J63" s="79"/>
      <c r="K63" s="107"/>
      <c r="L63" s="107"/>
      <c r="M63" s="108"/>
      <c r="N63" s="100"/>
      <c r="O63" s="100"/>
      <c r="P63" s="100"/>
      <c r="Q63" s="100"/>
      <c r="R63" s="100"/>
      <c r="S63" s="100"/>
      <c r="T63" s="100"/>
      <c r="U63" s="104"/>
      <c r="V63" s="41"/>
      <c r="W63" s="17"/>
      <c r="X63" s="96"/>
      <c r="Y63" s="96"/>
      <c r="Z63" s="133"/>
      <c r="AA63" s="96"/>
      <c r="AB63" s="135"/>
      <c r="AC63" s="135"/>
      <c r="AD63" s="135"/>
      <c r="AE63" s="135"/>
    </row>
    <row r="64" spans="1:32" ht="18" x14ac:dyDescent="0.35">
      <c r="A64" s="60">
        <f>Лист1!G$3</f>
        <v>7.5</v>
      </c>
      <c r="B64" s="13">
        <f>Лист1!G$7</f>
        <v>542.0153508771931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1.7739997329654447</v>
      </c>
      <c r="D64" s="15">
        <f>C64-E64</f>
        <v>0.92248309792481753</v>
      </c>
      <c r="E64" s="32">
        <f t="shared" ref="E64:E100" si="9">IF(D65 &gt; $D$60,D65/$B64*100,0)</f>
        <v>0.85151663504062713</v>
      </c>
      <c r="F64" s="78">
        <v>122</v>
      </c>
      <c r="G64" s="79">
        <v>109.9</v>
      </c>
      <c r="H64" s="79">
        <v>109.9</v>
      </c>
      <c r="I64" s="79">
        <v>109.9</v>
      </c>
      <c r="J64" s="79">
        <v>95.790234374999955</v>
      </c>
      <c r="K64" s="107"/>
      <c r="L64" s="107"/>
      <c r="M64" s="108"/>
      <c r="N64" s="100"/>
      <c r="O64" s="100"/>
      <c r="P64" s="100"/>
      <c r="Q64" s="100"/>
      <c r="R64" s="100"/>
      <c r="S64" s="100"/>
      <c r="T64" s="100"/>
      <c r="U64" s="104"/>
      <c r="V64" s="41"/>
      <c r="W64" s="17">
        <f t="shared" si="8"/>
        <v>547.490234375</v>
      </c>
      <c r="X64" s="96">
        <v>45</v>
      </c>
      <c r="Y64" s="96">
        <v>4</v>
      </c>
      <c r="Z64" s="133">
        <v>59.490234375</v>
      </c>
      <c r="AA64" s="96">
        <v>15.509765625</v>
      </c>
      <c r="AB64" s="135">
        <v>2</v>
      </c>
      <c r="AC64" s="135">
        <v>3</v>
      </c>
      <c r="AD64" s="135">
        <v>1</v>
      </c>
      <c r="AE64" s="135">
        <v>3</v>
      </c>
      <c r="AF64" s="12">
        <v>12.1</v>
      </c>
    </row>
    <row r="65" spans="1:32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5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4.6153508771931229</v>
      </c>
      <c r="E65" s="32">
        <f t="shared" si="9"/>
        <v>0</v>
      </c>
      <c r="F65" s="78"/>
      <c r="G65" s="79"/>
      <c r="H65" s="79"/>
      <c r="I65" s="79"/>
      <c r="J65" s="79"/>
      <c r="K65" s="107"/>
      <c r="L65" s="107"/>
      <c r="M65" s="108"/>
      <c r="N65" s="100"/>
      <c r="O65" s="100"/>
      <c r="P65" s="100"/>
      <c r="Q65" s="100"/>
      <c r="R65" s="100"/>
      <c r="S65" s="100"/>
      <c r="T65" s="100"/>
      <c r="U65" s="104"/>
      <c r="V65" s="41"/>
      <c r="W65" s="17"/>
      <c r="X65" s="96"/>
      <c r="Y65" s="96"/>
      <c r="Z65" s="133"/>
      <c r="AA65" s="96"/>
      <c r="AB65" s="135"/>
      <c r="AC65" s="135"/>
      <c r="AD65" s="135"/>
      <c r="AE65" s="135"/>
    </row>
    <row r="66" spans="1:32" ht="16.95" hidden="1" x14ac:dyDescent="0.3">
      <c r="A66" s="58"/>
      <c r="B66" s="13"/>
      <c r="C66" s="22"/>
      <c r="D66" s="22"/>
      <c r="E66" s="32">
        <f t="shared" si="9"/>
        <v>0</v>
      </c>
      <c r="F66" s="78"/>
      <c r="G66" s="79"/>
      <c r="H66" s="79"/>
      <c r="I66" s="79"/>
      <c r="J66" s="79"/>
      <c r="K66" s="107"/>
      <c r="L66" s="107"/>
      <c r="M66" s="108"/>
      <c r="N66" s="100"/>
      <c r="O66" s="100"/>
      <c r="P66" s="100"/>
      <c r="Q66" s="100"/>
      <c r="R66" s="100"/>
      <c r="S66" s="100"/>
      <c r="T66" s="100"/>
      <c r="U66" s="104"/>
      <c r="V66" s="41"/>
      <c r="W66" s="17"/>
      <c r="X66" s="96"/>
      <c r="Y66" s="96"/>
      <c r="Z66" s="133"/>
      <c r="AA66" s="96"/>
      <c r="AB66" s="135"/>
      <c r="AC66" s="135"/>
      <c r="AD66" s="135"/>
      <c r="AE66" s="135"/>
    </row>
    <row r="67" spans="1:32" ht="18" x14ac:dyDescent="0.35">
      <c r="A67" s="60">
        <f>Лист1!H$3</f>
        <v>8</v>
      </c>
      <c r="B67" s="13">
        <f>Лист1!H$7</f>
        <v>578.14970760233928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1.6344741644043184</v>
      </c>
      <c r="D67" s="15">
        <f>C67-E67</f>
        <v>0.86482790430451639</v>
      </c>
      <c r="E67" s="32">
        <f t="shared" si="9"/>
        <v>0.76964626009980197</v>
      </c>
      <c r="F67" s="78">
        <v>122</v>
      </c>
      <c r="G67" s="79">
        <v>122</v>
      </c>
      <c r="H67" s="79">
        <v>122</v>
      </c>
      <c r="I67" s="79">
        <v>122</v>
      </c>
      <c r="J67" s="79">
        <v>95.9896240234375</v>
      </c>
      <c r="K67" s="107"/>
      <c r="L67" s="107"/>
      <c r="M67" s="108"/>
      <c r="N67" s="100"/>
      <c r="O67" s="100"/>
      <c r="P67" s="100"/>
      <c r="Q67" s="100"/>
      <c r="R67" s="100"/>
      <c r="S67" s="100"/>
      <c r="T67" s="100"/>
      <c r="U67" s="104"/>
      <c r="V67" s="41"/>
      <c r="W67" s="17">
        <f t="shared" si="8"/>
        <v>583.9896240234375</v>
      </c>
      <c r="X67" s="96">
        <v>48</v>
      </c>
      <c r="Y67" s="96">
        <v>4</v>
      </c>
      <c r="Z67" s="133">
        <v>95.9896240234375</v>
      </c>
      <c r="AA67" s="96"/>
      <c r="AB67" s="135"/>
      <c r="AC67" s="135"/>
      <c r="AD67" s="135"/>
      <c r="AE67" s="135"/>
    </row>
    <row r="68" spans="1:32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5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4.4497076023393447</v>
      </c>
      <c r="E68" s="32">
        <f t="shared" si="9"/>
        <v>0</v>
      </c>
      <c r="F68" s="78"/>
      <c r="G68" s="79"/>
      <c r="H68" s="79"/>
      <c r="I68" s="79"/>
      <c r="J68" s="79"/>
      <c r="K68" s="107"/>
      <c r="L68" s="107"/>
      <c r="M68" s="108"/>
      <c r="N68" s="100"/>
      <c r="O68" s="100"/>
      <c r="P68" s="100"/>
      <c r="Q68" s="100"/>
      <c r="R68" s="100"/>
      <c r="S68" s="100"/>
      <c r="T68" s="100"/>
      <c r="U68" s="104"/>
      <c r="V68" s="41"/>
      <c r="W68" s="17"/>
      <c r="X68" s="96"/>
      <c r="Y68" s="96"/>
      <c r="Z68" s="133"/>
      <c r="AA68" s="96"/>
      <c r="AB68" s="135"/>
      <c r="AC68" s="135"/>
      <c r="AD68" s="135"/>
      <c r="AE68" s="135"/>
    </row>
    <row r="69" spans="1:32" ht="16.95" hidden="1" x14ac:dyDescent="0.3">
      <c r="A69" s="58"/>
      <c r="B69" s="13"/>
      <c r="C69" s="22"/>
      <c r="D69" s="22"/>
      <c r="E69" s="32">
        <f t="shared" si="9"/>
        <v>0</v>
      </c>
      <c r="F69" s="78"/>
      <c r="G69" s="79"/>
      <c r="H69" s="79"/>
      <c r="I69" s="79"/>
      <c r="J69" s="79"/>
      <c r="K69" s="107"/>
      <c r="L69" s="107"/>
      <c r="M69" s="108"/>
      <c r="N69" s="100"/>
      <c r="O69" s="100"/>
      <c r="P69" s="100"/>
      <c r="Q69" s="100"/>
      <c r="R69" s="100"/>
      <c r="S69" s="100"/>
      <c r="T69" s="100"/>
      <c r="U69" s="104"/>
      <c r="V69" s="41"/>
      <c r="W69" s="17"/>
      <c r="X69" s="96"/>
      <c r="Y69" s="96"/>
      <c r="Z69" s="133"/>
      <c r="AA69" s="96"/>
      <c r="AB69" s="135"/>
      <c r="AC69" s="135"/>
      <c r="AD69" s="135"/>
      <c r="AE69" s="135"/>
    </row>
    <row r="70" spans="1:32" ht="18" x14ac:dyDescent="0.35">
      <c r="A70" s="60">
        <f>Лист1!I$3</f>
        <v>8.5</v>
      </c>
      <c r="B70" s="13">
        <f>Лист1!I$7</f>
        <v>614.28406432748545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1.5113633686150709</v>
      </c>
      <c r="D70" s="15">
        <f>C70-E70</f>
        <v>0.97674680956745397</v>
      </c>
      <c r="E70" s="32">
        <f t="shared" si="9"/>
        <v>0.53461655904761696</v>
      </c>
      <c r="F70" s="78">
        <v>109.9</v>
      </c>
      <c r="G70" s="79">
        <v>109.9</v>
      </c>
      <c r="H70" s="79">
        <v>109.9</v>
      </c>
      <c r="I70" s="79">
        <v>97.8</v>
      </c>
      <c r="J70" s="79">
        <v>97.8</v>
      </c>
      <c r="K70" s="79">
        <v>95.188952636718682</v>
      </c>
      <c r="L70" s="107"/>
      <c r="M70" s="108"/>
      <c r="N70" s="100"/>
      <c r="O70" s="100"/>
      <c r="P70" s="100"/>
      <c r="Q70" s="100"/>
      <c r="R70" s="100"/>
      <c r="S70" s="100"/>
      <c r="T70" s="100"/>
      <c r="U70" s="104"/>
      <c r="V70" s="41"/>
      <c r="W70" s="17">
        <f t="shared" si="8"/>
        <v>620.48895263671875</v>
      </c>
      <c r="X70" s="96">
        <v>51</v>
      </c>
      <c r="Y70" s="96">
        <v>5</v>
      </c>
      <c r="Z70" s="133">
        <v>10.48895263671875</v>
      </c>
      <c r="AA70" s="96">
        <v>64.51104736328125</v>
      </c>
      <c r="AB70" s="135">
        <v>6</v>
      </c>
      <c r="AC70" s="135">
        <v>3</v>
      </c>
      <c r="AD70" s="135">
        <v>3</v>
      </c>
      <c r="AE70" s="135">
        <v>5</v>
      </c>
      <c r="AF70" s="12">
        <v>12.1</v>
      </c>
    </row>
    <row r="71" spans="1:32" ht="16.95" hidden="1" x14ac:dyDescent="0.3">
      <c r="A71" s="58"/>
      <c r="B71" s="101"/>
      <c r="C71" s="19">
        <f>$C$58*
(SIGN($F70)+SIGN($G70)+SIGN($H70)+SIGN($I70)
+SIGN($J70)+SIGN($K70)+SIGN($L70)+SIGN($M70)
+SIGN($N70)+SIGN($O70)+SIGN($P70)+SIGN($Q70)
+SIGN($R70)+SIGN($S70)+SIGN($T70)+SIGN($V70))</f>
        <v>6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3.2840643274854528</v>
      </c>
      <c r="E71" s="32">
        <f t="shared" si="9"/>
        <v>0</v>
      </c>
      <c r="F71" s="78"/>
      <c r="G71" s="79"/>
      <c r="H71" s="79"/>
      <c r="I71" s="79"/>
      <c r="J71" s="107"/>
      <c r="K71" s="79"/>
      <c r="L71" s="107"/>
      <c r="M71" s="108"/>
      <c r="N71" s="100"/>
      <c r="O71" s="100"/>
      <c r="P71" s="100"/>
      <c r="Q71" s="100"/>
      <c r="R71" s="100"/>
      <c r="S71" s="100"/>
      <c r="T71" s="100"/>
      <c r="U71" s="104"/>
      <c r="V71" s="35"/>
      <c r="W71" s="35"/>
      <c r="X71" s="96"/>
      <c r="Y71" s="96"/>
      <c r="Z71" s="133"/>
      <c r="AA71" s="96"/>
      <c r="AB71" s="135"/>
      <c r="AC71" s="135"/>
      <c r="AD71" s="135"/>
      <c r="AE71" s="135"/>
    </row>
    <row r="72" spans="1:32" ht="16.95" hidden="1" x14ac:dyDescent="0.3">
      <c r="A72" s="58"/>
      <c r="B72" s="101"/>
      <c r="C72" s="22"/>
      <c r="D72" s="22"/>
      <c r="E72" s="32">
        <f t="shared" si="9"/>
        <v>0</v>
      </c>
      <c r="F72" s="78"/>
      <c r="G72" s="79"/>
      <c r="H72" s="79"/>
      <c r="I72" s="79"/>
      <c r="J72" s="107"/>
      <c r="K72" s="79"/>
      <c r="L72" s="107"/>
      <c r="M72" s="108"/>
      <c r="N72" s="100"/>
      <c r="O72" s="100"/>
      <c r="P72" s="100"/>
      <c r="Q72" s="100"/>
      <c r="R72" s="100"/>
      <c r="S72" s="100"/>
      <c r="T72" s="100"/>
      <c r="U72" s="104"/>
      <c r="V72" s="35"/>
      <c r="W72" s="35"/>
      <c r="X72" s="96"/>
      <c r="Y72" s="96"/>
      <c r="Z72" s="133"/>
      <c r="AA72" s="96"/>
      <c r="AB72" s="135"/>
      <c r="AC72" s="135"/>
      <c r="AD72" s="135"/>
      <c r="AE72" s="135"/>
    </row>
    <row r="73" spans="1:32" ht="18" x14ac:dyDescent="0.35">
      <c r="A73" s="60">
        <f>Лист1!J$3</f>
        <v>9</v>
      </c>
      <c r="B73" s="13">
        <f>Лист1!J$7</f>
        <v>650.41842105263163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1.4019315501357572</v>
      </c>
      <c r="D73" s="15">
        <f>C73-E73</f>
        <v>0.92248309792481753</v>
      </c>
      <c r="E73" s="32">
        <f t="shared" si="9"/>
        <v>0.47944845221093962</v>
      </c>
      <c r="F73" s="78">
        <v>122</v>
      </c>
      <c r="G73" s="79">
        <v>109.9</v>
      </c>
      <c r="H73" s="79">
        <v>109.9</v>
      </c>
      <c r="I73" s="79">
        <v>109.9</v>
      </c>
      <c r="J73" s="79">
        <v>109.9</v>
      </c>
      <c r="K73" s="79">
        <v>95.388281249999977</v>
      </c>
      <c r="L73" s="79"/>
      <c r="M73" s="80"/>
      <c r="N73" s="38"/>
      <c r="O73" s="38"/>
      <c r="P73" s="38"/>
      <c r="Q73" s="38"/>
      <c r="R73" s="39"/>
      <c r="S73" s="63"/>
      <c r="T73" s="63"/>
      <c r="U73" s="102"/>
      <c r="V73" s="41"/>
      <c r="W73" s="17">
        <f>SUM(F73:T73)</f>
        <v>656.98828125</v>
      </c>
      <c r="X73" s="135">
        <v>54</v>
      </c>
      <c r="Y73" s="135">
        <v>5</v>
      </c>
      <c r="Z73" s="133">
        <v>46.98828125</v>
      </c>
      <c r="AA73" s="137">
        <v>28.01171875</v>
      </c>
      <c r="AB73" s="135">
        <v>3</v>
      </c>
      <c r="AC73" s="135">
        <v>3</v>
      </c>
      <c r="AD73" s="135">
        <v>2</v>
      </c>
      <c r="AE73" s="135">
        <v>4</v>
      </c>
      <c r="AF73" s="12">
        <v>12.1</v>
      </c>
    </row>
    <row r="74" spans="1:32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6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3.1184210526316747</v>
      </c>
      <c r="E74" s="32">
        <f t="shared" si="9"/>
        <v>0</v>
      </c>
      <c r="F74" s="109"/>
      <c r="G74" s="109"/>
      <c r="H74" s="109"/>
      <c r="I74" s="109"/>
      <c r="J74" s="109"/>
      <c r="K74" s="7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133"/>
      <c r="AA74" s="135"/>
      <c r="AB74" s="135"/>
      <c r="AC74" s="135"/>
      <c r="AD74" s="135"/>
      <c r="AE74" s="135"/>
    </row>
    <row r="75" spans="1:32" ht="16.95" hidden="1" x14ac:dyDescent="0.3">
      <c r="A75" s="59"/>
      <c r="B75" s="13"/>
      <c r="C75" s="22"/>
      <c r="D75" s="22"/>
      <c r="E75" s="32">
        <f t="shared" si="9"/>
        <v>0</v>
      </c>
      <c r="F75" s="110"/>
      <c r="G75" s="111"/>
      <c r="H75" s="111"/>
      <c r="I75" s="111"/>
      <c r="J75" s="111"/>
      <c r="K75" s="79"/>
      <c r="L75" s="112"/>
      <c r="M75" s="113"/>
      <c r="P75" s="38"/>
      <c r="Q75" s="38"/>
      <c r="R75" s="39"/>
      <c r="S75" s="63"/>
      <c r="T75" s="63"/>
      <c r="U75" s="102"/>
      <c r="V75" s="41"/>
      <c r="W75" s="17"/>
      <c r="X75" s="135"/>
      <c r="Y75" s="135"/>
      <c r="Z75" s="133"/>
      <c r="AA75" s="135"/>
      <c r="AB75" s="135"/>
      <c r="AC75" s="135"/>
      <c r="AD75" s="135"/>
      <c r="AE75" s="135"/>
    </row>
    <row r="76" spans="1:32" ht="18" x14ac:dyDescent="0.35">
      <c r="A76" s="60">
        <f>Лист1!K$3</f>
        <v>9.5</v>
      </c>
      <c r="B76" s="13">
        <f>Лист1!K$7</f>
        <v>686.55277777777792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1.3040188704437394</v>
      </c>
      <c r="D76" s="15">
        <f>C76-E76</f>
        <v>1.3040188704437394</v>
      </c>
      <c r="E76" s="32">
        <f t="shared" si="9"/>
        <v>0</v>
      </c>
      <c r="F76" s="78">
        <v>122</v>
      </c>
      <c r="G76" s="79">
        <v>122</v>
      </c>
      <c r="H76" s="79">
        <v>122</v>
      </c>
      <c r="I76" s="79">
        <v>122</v>
      </c>
      <c r="J76" s="79">
        <v>109.9</v>
      </c>
      <c r="K76" s="79">
        <v>95.587670898437523</v>
      </c>
      <c r="L76" s="79"/>
      <c r="M76" s="80"/>
      <c r="N76" s="38"/>
      <c r="O76" s="38"/>
      <c r="P76" s="38"/>
      <c r="Q76" s="38"/>
      <c r="R76" s="39"/>
      <c r="S76" s="63"/>
      <c r="T76" s="63"/>
      <c r="U76" s="102"/>
      <c r="V76" s="41"/>
      <c r="W76" s="17">
        <f>SUM(F76:T76)</f>
        <v>693.4876708984375</v>
      </c>
      <c r="X76" s="135">
        <v>57</v>
      </c>
      <c r="Y76" s="135">
        <v>5</v>
      </c>
      <c r="Z76" s="133">
        <v>83.4876708984375</v>
      </c>
      <c r="AA76" s="135"/>
      <c r="AB76" s="135"/>
      <c r="AC76" s="135">
        <v>3</v>
      </c>
      <c r="AD76" s="135">
        <v>1</v>
      </c>
      <c r="AE76" s="135">
        <v>1</v>
      </c>
      <c r="AF76" s="12">
        <v>12.1</v>
      </c>
    </row>
    <row r="77" spans="1:32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6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2.9527777777778965</v>
      </c>
      <c r="E77" s="32">
        <f t="shared" si="9"/>
        <v>0</v>
      </c>
      <c r="F77" s="109"/>
      <c r="G77" s="109"/>
      <c r="H77" s="109"/>
      <c r="I77" s="109"/>
      <c r="J77" s="109"/>
      <c r="K77" s="7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133"/>
      <c r="AA77" s="135"/>
      <c r="AB77" s="135"/>
      <c r="AC77" s="135"/>
      <c r="AD77" s="135"/>
      <c r="AE77" s="135"/>
    </row>
    <row r="78" spans="1:32" ht="16.95" hidden="1" x14ac:dyDescent="0.3">
      <c r="A78" s="59"/>
      <c r="B78" s="13"/>
      <c r="C78" s="22"/>
      <c r="D78" s="22"/>
      <c r="E78" s="32">
        <f t="shared" si="9"/>
        <v>0</v>
      </c>
      <c r="F78" s="110"/>
      <c r="G78" s="111"/>
      <c r="H78" s="111"/>
      <c r="I78" s="111"/>
      <c r="J78" s="111"/>
      <c r="K78" s="79"/>
      <c r="L78" s="112"/>
      <c r="M78" s="113"/>
      <c r="P78" s="38"/>
      <c r="Q78" s="38"/>
      <c r="R78" s="39"/>
      <c r="S78" s="63"/>
      <c r="T78" s="63"/>
      <c r="U78" s="102"/>
      <c r="V78" s="41"/>
      <c r="W78" s="17"/>
      <c r="X78" s="135"/>
      <c r="Y78" s="135"/>
      <c r="Z78" s="133"/>
      <c r="AA78" s="135"/>
      <c r="AB78" s="135"/>
      <c r="AC78" s="135"/>
      <c r="AD78" s="135"/>
      <c r="AE78" s="135"/>
    </row>
    <row r="79" spans="1:32" ht="18" x14ac:dyDescent="0.35">
      <c r="A79" s="60">
        <f>Лист1!L$3</f>
        <v>10</v>
      </c>
      <c r="B79" s="13">
        <f>Лист1!L$7</f>
        <v>722.6871345029241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1.2158974587209237</v>
      </c>
      <c r="D79" s="15">
        <f>C79-E79</f>
        <v>1.2158974587209237</v>
      </c>
      <c r="E79" s="32">
        <f t="shared" si="9"/>
        <v>0</v>
      </c>
      <c r="F79" s="78">
        <v>109.9</v>
      </c>
      <c r="G79" s="79">
        <v>109.9</v>
      </c>
      <c r="H79" s="79">
        <v>109.9</v>
      </c>
      <c r="I79" s="79">
        <v>109.9</v>
      </c>
      <c r="J79" s="79">
        <v>97.8</v>
      </c>
      <c r="K79" s="79">
        <v>97.8</v>
      </c>
      <c r="L79" s="79">
        <v>94.786999511718818</v>
      </c>
      <c r="M79" s="80"/>
      <c r="N79" s="38"/>
      <c r="O79" s="38"/>
      <c r="P79" s="38"/>
      <c r="Q79" s="38"/>
      <c r="R79" s="39"/>
      <c r="S79" s="63"/>
      <c r="T79" s="63"/>
      <c r="U79" s="102"/>
      <c r="V79" s="41"/>
      <c r="W79" s="17">
        <f>SUM(F79:T79)</f>
        <v>729.98699951171875</v>
      </c>
      <c r="X79" s="135">
        <v>60</v>
      </c>
      <c r="Y79" s="135">
        <v>6</v>
      </c>
      <c r="Z79" s="133">
        <v>-2.01300048828125</v>
      </c>
      <c r="AA79" s="135">
        <v>77.01300048828125</v>
      </c>
      <c r="AB79" s="135">
        <v>7</v>
      </c>
      <c r="AC79" s="135">
        <v>3</v>
      </c>
      <c r="AD79" s="135">
        <v>3</v>
      </c>
      <c r="AE79" s="135">
        <v>6</v>
      </c>
      <c r="AF79" s="12">
        <v>12.1</v>
      </c>
    </row>
    <row r="80" spans="1:32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7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1.7871345029241184</v>
      </c>
      <c r="E80" s="32">
        <f t="shared" si="9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133"/>
      <c r="AA80" s="135"/>
      <c r="AB80" s="135"/>
      <c r="AC80" s="135"/>
      <c r="AD80" s="135"/>
      <c r="AE80" s="135"/>
    </row>
    <row r="81" spans="1:32" ht="18.899999999999999" hidden="1" x14ac:dyDescent="0.35">
      <c r="A81" s="60"/>
      <c r="B81" s="13"/>
      <c r="C81" s="22"/>
      <c r="D81" s="22"/>
      <c r="E81" s="32">
        <f t="shared" si="9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63"/>
      <c r="T81" s="63"/>
      <c r="U81" s="102"/>
      <c r="V81" s="41"/>
      <c r="W81" s="17"/>
      <c r="X81" s="135"/>
      <c r="Y81" s="135"/>
      <c r="Z81" s="133"/>
      <c r="AA81" s="135"/>
      <c r="AB81" s="135"/>
      <c r="AC81" s="135"/>
      <c r="AD81" s="135"/>
      <c r="AE81" s="135"/>
    </row>
    <row r="82" spans="1:32" ht="18" x14ac:dyDescent="0.35">
      <c r="A82" s="60">
        <f>Лист1!M$3</f>
        <v>10.5</v>
      </c>
      <c r="B82" s="13">
        <f>Лист1!M$7</f>
        <v>758.82149122807027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1.1361685624002809</v>
      </c>
      <c r="D82" s="15">
        <f>C82-E82</f>
        <v>1.1361685624002809</v>
      </c>
      <c r="E82" s="32">
        <f t="shared" si="9"/>
        <v>0</v>
      </c>
      <c r="F82" s="78">
        <v>122</v>
      </c>
      <c r="G82" s="79">
        <v>109.9</v>
      </c>
      <c r="H82" s="79">
        <v>109.9</v>
      </c>
      <c r="I82" s="79">
        <v>109.9</v>
      </c>
      <c r="J82" s="79">
        <v>109.9</v>
      </c>
      <c r="K82" s="79">
        <v>109.9</v>
      </c>
      <c r="L82" s="79">
        <v>94.986328125</v>
      </c>
      <c r="M82" s="80"/>
      <c r="N82" s="38"/>
      <c r="O82" s="38"/>
      <c r="P82" s="38"/>
      <c r="Q82" s="38"/>
      <c r="R82" s="39"/>
      <c r="S82" s="63"/>
      <c r="T82" s="63"/>
      <c r="U82" s="102"/>
      <c r="V82" s="41"/>
      <c r="W82" s="17">
        <f>SUM(F82:T82)</f>
        <v>766.486328125</v>
      </c>
      <c r="X82" s="135">
        <v>63</v>
      </c>
      <c r="Y82" s="135">
        <v>6</v>
      </c>
      <c r="Z82" s="133">
        <v>34.486328125</v>
      </c>
      <c r="AA82" s="135">
        <v>40.513671875</v>
      </c>
      <c r="AB82" s="135">
        <v>4</v>
      </c>
      <c r="AC82" s="135">
        <v>3</v>
      </c>
      <c r="AD82" s="135">
        <v>2</v>
      </c>
      <c r="AE82" s="135">
        <v>5</v>
      </c>
      <c r="AF82" s="12">
        <v>12.1</v>
      </c>
    </row>
    <row r="83" spans="1:32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7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1.6214912280703402</v>
      </c>
      <c r="E83" s="32">
        <f t="shared" si="9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133"/>
      <c r="AA83" s="135"/>
      <c r="AB83" s="135"/>
      <c r="AC83" s="135"/>
      <c r="AD83" s="135"/>
      <c r="AE83" s="135"/>
    </row>
    <row r="84" spans="1:32" ht="18.899999999999999" hidden="1" x14ac:dyDescent="0.35">
      <c r="A84" s="60"/>
      <c r="B84" s="13"/>
      <c r="C84" s="22"/>
      <c r="D84" s="22"/>
      <c r="E84" s="32">
        <f t="shared" si="9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63"/>
      <c r="T84" s="63"/>
      <c r="U84" s="102"/>
      <c r="V84" s="41"/>
      <c r="W84" s="17"/>
      <c r="X84" s="135"/>
      <c r="Y84" s="135"/>
      <c r="Z84" s="133"/>
      <c r="AA84" s="135"/>
      <c r="AB84" s="135"/>
      <c r="AC84" s="135"/>
      <c r="AD84" s="135"/>
      <c r="AE84" s="135"/>
    </row>
    <row r="85" spans="1:32" ht="18" x14ac:dyDescent="0.35">
      <c r="A85" s="60">
        <f>Лист1!N$3</f>
        <v>11</v>
      </c>
      <c r="B85" s="13">
        <f>Лист1!N$7</f>
        <v>794.95584795321656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1.0636877475633328</v>
      </c>
      <c r="D85" s="15">
        <f>C85-E85</f>
        <v>1.0636877475633328</v>
      </c>
      <c r="E85" s="32">
        <f t="shared" si="9"/>
        <v>0</v>
      </c>
      <c r="F85" s="78">
        <v>122</v>
      </c>
      <c r="G85" s="79">
        <v>122</v>
      </c>
      <c r="H85" s="79">
        <v>122</v>
      </c>
      <c r="I85" s="79">
        <v>122</v>
      </c>
      <c r="J85" s="79">
        <v>109.9</v>
      </c>
      <c r="K85" s="79">
        <v>109.9</v>
      </c>
      <c r="L85" s="79">
        <v>95.185717773437545</v>
      </c>
      <c r="M85" s="80"/>
      <c r="N85" s="38"/>
      <c r="O85" s="38"/>
      <c r="P85" s="38"/>
      <c r="Q85" s="38"/>
      <c r="R85" s="39"/>
      <c r="S85" s="63"/>
      <c r="T85" s="63"/>
      <c r="U85" s="102"/>
      <c r="V85" s="41"/>
      <c r="W85" s="17">
        <f>SUM(F85:T85)</f>
        <v>802.9857177734375</v>
      </c>
      <c r="X85" s="135">
        <v>66</v>
      </c>
      <c r="Y85" s="135">
        <v>6</v>
      </c>
      <c r="Z85" s="133">
        <v>70.9857177734375</v>
      </c>
      <c r="AA85" s="135">
        <v>4.0142822265625</v>
      </c>
      <c r="AB85" s="135">
        <v>1</v>
      </c>
      <c r="AC85" s="135">
        <v>3</v>
      </c>
      <c r="AD85" s="135">
        <v>1</v>
      </c>
      <c r="AE85" s="135">
        <v>2</v>
      </c>
      <c r="AF85" s="12">
        <v>12.1</v>
      </c>
    </row>
    <row r="86" spans="1:32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7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1.455847953216562</v>
      </c>
      <c r="E86" s="32">
        <f t="shared" si="9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133"/>
      <c r="AA86" s="135"/>
      <c r="AB86" s="135"/>
      <c r="AC86" s="135"/>
      <c r="AD86" s="135"/>
      <c r="AE86" s="135"/>
    </row>
    <row r="87" spans="1:32" ht="18.899999999999999" hidden="1" x14ac:dyDescent="0.35">
      <c r="A87" s="60"/>
      <c r="B87" s="13"/>
      <c r="C87" s="22"/>
      <c r="D87" s="22"/>
      <c r="E87" s="32">
        <f t="shared" si="9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63"/>
      <c r="T87" s="63"/>
      <c r="U87" s="102"/>
      <c r="V87" s="41"/>
      <c r="W87" s="17"/>
      <c r="X87" s="135"/>
      <c r="Y87" s="135"/>
      <c r="Z87" s="133"/>
      <c r="AA87" s="135"/>
      <c r="AB87" s="135"/>
      <c r="AC87" s="135"/>
      <c r="AD87" s="135"/>
      <c r="AE87" s="135"/>
    </row>
    <row r="88" spans="1:32" ht="18" x14ac:dyDescent="0.35">
      <c r="A88" s="60">
        <f>Лист1!O$3</f>
        <v>11.2</v>
      </c>
      <c r="B88" s="13">
        <f>Лист1!O$7</f>
        <v>809.4095906432749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1.3354908032018742</v>
      </c>
      <c r="D88" s="15">
        <f>C88-E88</f>
        <v>0.8648279043045165</v>
      </c>
      <c r="E88" s="32">
        <f t="shared" si="9"/>
        <v>0.47066289889735768</v>
      </c>
      <c r="F88" s="78">
        <v>122</v>
      </c>
      <c r="G88" s="79">
        <v>122</v>
      </c>
      <c r="H88" s="79">
        <v>122</v>
      </c>
      <c r="I88" s="79">
        <v>122</v>
      </c>
      <c r="J88" s="79">
        <v>122</v>
      </c>
      <c r="K88" s="79">
        <v>109.9</v>
      </c>
      <c r="L88" s="79">
        <v>97.685449218750023</v>
      </c>
      <c r="M88" s="80"/>
      <c r="N88" s="38"/>
      <c r="O88" s="38"/>
      <c r="P88" s="38"/>
      <c r="Q88" s="38"/>
      <c r="R88" s="39"/>
      <c r="S88" s="63"/>
      <c r="T88" s="63"/>
      <c r="U88" s="102"/>
      <c r="V88" s="41"/>
      <c r="W88" s="17">
        <f>SUM(F88:T88)</f>
        <v>817.58544921875</v>
      </c>
      <c r="X88" s="135">
        <v>67</v>
      </c>
      <c r="Y88" s="135">
        <v>6</v>
      </c>
      <c r="Z88" s="133">
        <v>85.58544921875</v>
      </c>
      <c r="AA88" s="135"/>
      <c r="AB88" s="135"/>
      <c r="AC88" s="135">
        <v>3</v>
      </c>
      <c r="AD88" s="135">
        <v>1</v>
      </c>
      <c r="AE88" s="135">
        <v>1</v>
      </c>
      <c r="AF88" s="12">
        <v>12.1</v>
      </c>
    </row>
    <row r="89" spans="1:32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7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3.8095906432748734</v>
      </c>
      <c r="E89" s="32">
        <f t="shared" si="9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133"/>
      <c r="AA89" s="135"/>
      <c r="AB89" s="135"/>
      <c r="AC89" s="135"/>
      <c r="AD89" s="135"/>
      <c r="AE89" s="135"/>
    </row>
    <row r="90" spans="1:32" ht="18.899999999999999" hidden="1" x14ac:dyDescent="0.35">
      <c r="A90" s="60"/>
      <c r="B90" s="13"/>
      <c r="C90" s="22"/>
      <c r="D90" s="22"/>
      <c r="E90" s="32">
        <f t="shared" si="9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63"/>
      <c r="T90" s="63"/>
      <c r="U90" s="102"/>
      <c r="V90" s="41"/>
      <c r="W90" s="17"/>
      <c r="X90" s="135"/>
      <c r="Y90" s="135"/>
      <c r="Z90" s="133"/>
      <c r="AA90" s="135"/>
      <c r="AB90" s="135"/>
      <c r="AC90" s="135"/>
      <c r="AD90" s="135"/>
      <c r="AE90" s="135"/>
    </row>
    <row r="91" spans="1:32" ht="18" x14ac:dyDescent="0.35">
      <c r="A91" s="60">
        <f>Лист1!P$3</f>
        <v>11.4</v>
      </c>
      <c r="B91" s="13">
        <f>Лист1!P$7</f>
        <v>823.86333333333346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0.12906671413950166</v>
      </c>
      <c r="D91" s="15">
        <f>C91-E91</f>
        <v>0.12906671413950166</v>
      </c>
      <c r="E91" s="32">
        <f t="shared" si="9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122</v>
      </c>
      <c r="L91" s="79">
        <v>100.1851806640625</v>
      </c>
      <c r="M91" s="80"/>
      <c r="N91" s="38"/>
      <c r="O91" s="38"/>
      <c r="P91" s="38"/>
      <c r="Q91" s="38"/>
      <c r="R91" s="39"/>
      <c r="S91" s="63"/>
      <c r="T91" s="63"/>
      <c r="U91" s="102"/>
      <c r="V91" s="41"/>
      <c r="W91" s="17">
        <f>SUM(F91:T91)</f>
        <v>832.1851806640625</v>
      </c>
      <c r="X91" s="135">
        <v>68</v>
      </c>
      <c r="Y91" s="135">
        <v>6</v>
      </c>
      <c r="Z91" s="133">
        <v>100.1851806640625</v>
      </c>
      <c r="AA91" s="135"/>
      <c r="AB91" s="135"/>
      <c r="AC91" s="135"/>
      <c r="AD91" s="135"/>
      <c r="AE91" s="135"/>
    </row>
    <row r="92" spans="1:32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7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-5.9366666666664969</v>
      </c>
      <c r="E92" s="32">
        <f t="shared" si="9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133"/>
      <c r="AA92" s="135"/>
      <c r="AB92" s="135"/>
      <c r="AC92" s="135"/>
      <c r="AD92" s="135"/>
      <c r="AE92" s="135"/>
    </row>
    <row r="93" spans="1:32" ht="18.899999999999999" hidden="1" x14ac:dyDescent="0.35">
      <c r="A93" s="60"/>
      <c r="B93" s="13"/>
      <c r="C93" s="22"/>
      <c r="D93" s="22"/>
      <c r="E93" s="32">
        <f t="shared" si="9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63"/>
      <c r="T93" s="63"/>
      <c r="U93" s="102"/>
      <c r="V93" s="41"/>
      <c r="W93" s="17"/>
      <c r="X93" s="135"/>
      <c r="Y93" s="135"/>
      <c r="Z93" s="133"/>
      <c r="AA93" s="135"/>
      <c r="AB93" s="135"/>
      <c r="AC93" s="135"/>
      <c r="AD93" s="135"/>
      <c r="AE93" s="135"/>
    </row>
    <row r="94" spans="1:32" ht="18" x14ac:dyDescent="0.35">
      <c r="A94" s="60">
        <f>Лист1!Q$3</f>
        <v>11.6</v>
      </c>
      <c r="B94" s="27">
        <f>Лист1!Q$7</f>
        <v>838.31707602339191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0.40761140636679333</v>
      </c>
      <c r="D94" s="15">
        <f>C94-E94</f>
        <v>0.40761140636679333</v>
      </c>
      <c r="E94" s="32">
        <f t="shared" si="9"/>
        <v>0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114.784912109375</v>
      </c>
      <c r="M94" s="86"/>
      <c r="N94" s="38"/>
      <c r="O94" s="38"/>
      <c r="P94" s="38"/>
      <c r="Q94" s="38"/>
      <c r="R94" s="39"/>
      <c r="S94" s="63"/>
      <c r="T94" s="63"/>
      <c r="U94" s="102"/>
      <c r="V94" s="171"/>
      <c r="W94" s="28">
        <f>SUM(F94:T94)</f>
        <v>846.784912109375</v>
      </c>
      <c r="X94" s="135">
        <v>69</v>
      </c>
      <c r="Y94" s="135">
        <v>6</v>
      </c>
      <c r="Z94" s="133">
        <v>114.784912109375</v>
      </c>
      <c r="AA94" s="135"/>
      <c r="AB94" s="135"/>
      <c r="AC94" s="135"/>
      <c r="AD94" s="135"/>
      <c r="AE94" s="135"/>
    </row>
    <row r="95" spans="1:32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7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-3.5829239766080718</v>
      </c>
      <c r="E95" s="32">
        <f t="shared" si="9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133"/>
      <c r="AA95" s="135"/>
      <c r="AB95" s="135"/>
      <c r="AC95" s="135"/>
      <c r="AD95" s="135"/>
      <c r="AE95" s="135"/>
    </row>
    <row r="96" spans="1:32" ht="18.899999999999999" hidden="1" x14ac:dyDescent="0.35">
      <c r="A96" s="60"/>
      <c r="B96" s="27"/>
      <c r="C96" s="22"/>
      <c r="D96" s="22"/>
      <c r="E96" s="32">
        <f t="shared" si="9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63"/>
      <c r="T96" s="63"/>
      <c r="U96" s="102"/>
      <c r="V96" s="41"/>
      <c r="W96" s="17"/>
      <c r="X96" s="135"/>
      <c r="Y96" s="135"/>
      <c r="Z96" s="133"/>
      <c r="AA96" s="135"/>
      <c r="AB96" s="135"/>
      <c r="AC96" s="135"/>
      <c r="AD96" s="135"/>
      <c r="AE96" s="135"/>
    </row>
    <row r="97" spans="1:32" ht="18" x14ac:dyDescent="0.35">
      <c r="A97" s="60">
        <f>Лист1!R$3</f>
        <v>11.8</v>
      </c>
      <c r="B97" s="13">
        <f>Лист1!R$7</f>
        <v>852.77081871345047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0.67671390563724099</v>
      </c>
      <c r="D97" s="15">
        <f>C97-E97</f>
        <v>0.67671390563724099</v>
      </c>
      <c r="E97" s="32">
        <f t="shared" si="9"/>
        <v>0</v>
      </c>
      <c r="F97" s="78">
        <v>109.9</v>
      </c>
      <c r="G97" s="79">
        <v>109.9</v>
      </c>
      <c r="H97" s="79">
        <v>109.9</v>
      </c>
      <c r="I97" s="79">
        <v>109.9</v>
      </c>
      <c r="J97" s="79">
        <v>109.9</v>
      </c>
      <c r="K97" s="79">
        <v>109.9</v>
      </c>
      <c r="L97" s="79">
        <v>97.8</v>
      </c>
      <c r="M97" s="80">
        <v>104.18464355468757</v>
      </c>
      <c r="N97" s="38"/>
      <c r="O97" s="38"/>
      <c r="P97" s="38"/>
      <c r="Q97" s="38"/>
      <c r="R97" s="39"/>
      <c r="S97" s="63"/>
      <c r="T97" s="63"/>
      <c r="U97" s="102"/>
      <c r="V97" s="41"/>
      <c r="W97" s="17">
        <f>SUM(F97:T97)</f>
        <v>861.3846435546875</v>
      </c>
      <c r="X97" s="135">
        <v>71</v>
      </c>
      <c r="Y97" s="135">
        <v>7</v>
      </c>
      <c r="Z97" s="133">
        <v>7.3846435546875</v>
      </c>
      <c r="AA97" s="135">
        <v>67.6153564453125</v>
      </c>
      <c r="AB97" s="135">
        <v>6</v>
      </c>
      <c r="AC97" s="135">
        <v>3</v>
      </c>
      <c r="AD97" s="135">
        <v>3</v>
      </c>
      <c r="AE97" s="135">
        <v>7</v>
      </c>
      <c r="AF97" s="12">
        <v>24.2</v>
      </c>
    </row>
    <row r="98" spans="1:32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8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-2.2291812865495331</v>
      </c>
      <c r="E98" s="32">
        <f t="shared" si="9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  <c r="X98" s="135"/>
      <c r="Y98" s="135"/>
      <c r="Z98" s="133"/>
      <c r="AA98" s="135"/>
      <c r="AB98" s="135"/>
      <c r="AC98" s="135"/>
      <c r="AD98" s="135"/>
      <c r="AE98" s="135"/>
    </row>
    <row r="99" spans="1:32" ht="18.899999999999999" hidden="1" x14ac:dyDescent="0.35">
      <c r="A99" s="60"/>
      <c r="B99" s="13"/>
      <c r="C99" s="22"/>
      <c r="D99" s="22"/>
      <c r="E99" s="32">
        <f t="shared" si="9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63"/>
      <c r="T99" s="63"/>
      <c r="U99" s="102"/>
      <c r="V99" s="41"/>
      <c r="W99" s="17"/>
      <c r="X99" s="135"/>
      <c r="Y99" s="135"/>
      <c r="Z99" s="133"/>
      <c r="AA99" s="135"/>
      <c r="AB99" s="135"/>
      <c r="AC99" s="135"/>
      <c r="AD99" s="135"/>
      <c r="AE99" s="135"/>
    </row>
    <row r="100" spans="1:32" ht="18" x14ac:dyDescent="0.35">
      <c r="A100" s="60">
        <f>Лист1!S$3</f>
        <v>12</v>
      </c>
      <c r="B100" s="13">
        <f>Лист1!S$7</f>
        <v>867.22456140350891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0.93684632159866077</v>
      </c>
      <c r="D100" s="15">
        <f>C100-E100</f>
        <v>0.93684632159866077</v>
      </c>
      <c r="E100" s="32">
        <f t="shared" si="9"/>
        <v>0</v>
      </c>
      <c r="F100" s="88">
        <v>122</v>
      </c>
      <c r="G100" s="88">
        <v>109.9</v>
      </c>
      <c r="H100" s="88">
        <v>109.9</v>
      </c>
      <c r="I100" s="88">
        <v>109.9</v>
      </c>
      <c r="J100" s="88">
        <v>109.9</v>
      </c>
      <c r="K100" s="88">
        <v>109.9</v>
      </c>
      <c r="L100" s="88">
        <v>109.9</v>
      </c>
      <c r="M100" s="89">
        <v>94.584375000000023</v>
      </c>
      <c r="N100" s="38"/>
      <c r="O100" s="38"/>
      <c r="P100" s="38"/>
      <c r="Q100" s="38"/>
      <c r="R100" s="39"/>
      <c r="S100" s="63"/>
      <c r="T100" s="63"/>
      <c r="U100" s="102"/>
      <c r="V100" s="41"/>
      <c r="W100" s="17">
        <f>SUM(F100:T100)</f>
        <v>875.984375</v>
      </c>
      <c r="X100" s="135">
        <v>72</v>
      </c>
      <c r="Y100" s="135">
        <v>7</v>
      </c>
      <c r="Z100" s="133">
        <v>21.984375</v>
      </c>
      <c r="AA100" s="137">
        <v>53.015625</v>
      </c>
      <c r="AB100" s="135">
        <v>5</v>
      </c>
      <c r="AC100" s="135">
        <v>3</v>
      </c>
      <c r="AD100" s="135">
        <v>2</v>
      </c>
      <c r="AE100" s="135">
        <v>6</v>
      </c>
      <c r="AF100" s="12">
        <v>12.1</v>
      </c>
    </row>
    <row r="101" spans="1:32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8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0.124561403508892</v>
      </c>
      <c r="E101" s="129">
        <f>B100</f>
        <v>867.22456140350891</v>
      </c>
      <c r="F101" s="20"/>
      <c r="G101" s="26"/>
      <c r="H101" s="26"/>
      <c r="I101" s="26"/>
      <c r="J101" s="26"/>
      <c r="K101" s="26"/>
      <c r="L101" s="26"/>
      <c r="M101" s="26"/>
      <c r="N101" s="42"/>
      <c r="O101" s="43"/>
      <c r="P101" s="21"/>
      <c r="Q101" s="21"/>
      <c r="R101" s="42"/>
      <c r="S101" s="21"/>
      <c r="T101" s="21"/>
      <c r="U101" s="21"/>
      <c r="V101" s="41"/>
      <c r="W101" s="17"/>
      <c r="X101" s="135"/>
      <c r="Y101" s="135"/>
      <c r="Z101" s="133"/>
      <c r="AA101" s="135"/>
      <c r="AB101" s="135"/>
      <c r="AC101" s="135"/>
      <c r="AD101" s="135"/>
      <c r="AE101" s="135"/>
    </row>
    <row r="102" spans="1:32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8.876286791358563</v>
      </c>
      <c r="F102" s="54"/>
      <c r="G102" s="53"/>
      <c r="H102" s="53"/>
      <c r="I102" s="53"/>
      <c r="J102" s="53"/>
      <c r="K102" s="53"/>
      <c r="L102" s="53"/>
      <c r="M102" s="53"/>
      <c r="P102" s="38"/>
      <c r="Q102" s="38"/>
      <c r="R102" s="39"/>
      <c r="S102" s="63"/>
      <c r="T102" s="63"/>
      <c r="U102" s="102"/>
      <c r="V102" s="41"/>
      <c r="W102" s="17"/>
      <c r="X102" s="135"/>
      <c r="Y102" s="135"/>
      <c r="Z102" s="133"/>
      <c r="AA102" s="135"/>
      <c r="AB102" s="135"/>
      <c r="AC102" s="135"/>
      <c r="AD102" s="135"/>
      <c r="AE102" s="135"/>
    </row>
    <row r="103" spans="1:32" ht="17.399999999999999" x14ac:dyDescent="0.35">
      <c r="B103" s="30" t="s">
        <v>28</v>
      </c>
      <c r="C103" s="31">
        <f>AVERAGE(C61,C64,C67,C70,C73,C76,C79,C82,C85,C88,C91,C94,C97,C100,)</f>
        <v>1.0973818754533116</v>
      </c>
      <c r="D103" s="31">
        <f>AVERAGE(D61,D64,D67,D70,D73,D76,D79,D82,D85,D88,D91,D94,D97,D100,)</f>
        <v>0.8273169699115458</v>
      </c>
      <c r="E103" s="31">
        <f>AVERAGE(E61,E64,E67,E70,E73,E76,E79,E82,E85,E88,E91,E94,E97,E100,)</f>
        <v>0.27006490554176565</v>
      </c>
      <c r="V103" s="38"/>
      <c r="W103" s="40"/>
      <c r="X103" s="96" t="s">
        <v>48</v>
      </c>
      <c r="Y103" s="96" t="s">
        <v>4</v>
      </c>
      <c r="Z103" s="133" t="s">
        <v>49</v>
      </c>
      <c r="AA103" s="96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2" ht="17.399999999999999" x14ac:dyDescent="0.35">
      <c r="B104" s="30"/>
      <c r="C104" s="31"/>
      <c r="D104" s="31"/>
      <c r="E104" s="31"/>
      <c r="V104" s="38"/>
      <c r="W104" s="40"/>
      <c r="X104" s="135"/>
      <c r="Y104" s="135"/>
      <c r="Z104" s="133"/>
      <c r="AA104" s="135"/>
      <c r="AB104" s="135"/>
      <c r="AC104" s="135"/>
      <c r="AD104" s="135"/>
      <c r="AE104" s="135"/>
    </row>
    <row r="105" spans="1:32" ht="17.399999999999999" x14ac:dyDescent="0.35">
      <c r="B105" s="30"/>
      <c r="C105" s="31"/>
      <c r="D105" s="31"/>
      <c r="E105" s="31"/>
      <c r="V105" s="38"/>
      <c r="W105" s="40"/>
      <c r="X105" s="135"/>
      <c r="Y105" s="135"/>
      <c r="Z105" s="133"/>
      <c r="AA105" s="135"/>
      <c r="AB105" s="135"/>
      <c r="AC105" s="135"/>
      <c r="AD105" s="135"/>
      <c r="AE105" s="135"/>
    </row>
    <row r="106" spans="1:32" ht="17.399999999999999" x14ac:dyDescent="0.35">
      <c r="B106" s="29"/>
      <c r="V106" s="38"/>
      <c r="W106" s="40"/>
      <c r="X106" s="135"/>
      <c r="Y106" s="135"/>
      <c r="Z106" s="133"/>
      <c r="AA106" s="135"/>
      <c r="AB106" s="135"/>
      <c r="AC106" s="135"/>
      <c r="AD106" s="135"/>
      <c r="AE106" s="135"/>
    </row>
    <row r="107" spans="1:32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" si="10">I107-1</f>
        <v>8</v>
      </c>
      <c r="K107" s="127">
        <f t="shared" ref="K107" si="11">J107-1</f>
        <v>7</v>
      </c>
      <c r="L107" s="127">
        <f t="shared" ref="L107" si="12">K107-1</f>
        <v>6</v>
      </c>
      <c r="M107" s="127">
        <f t="shared" ref="M107" si="13">L107-1</f>
        <v>5</v>
      </c>
      <c r="V107" s="169"/>
      <c r="W107" s="73"/>
      <c r="X107" s="139"/>
      <c r="Y107" s="139"/>
      <c r="Z107" s="134"/>
      <c r="AA107" s="136"/>
      <c r="AB107" s="136"/>
      <c r="AC107" s="136"/>
      <c r="AD107" s="136"/>
      <c r="AE107" s="136"/>
    </row>
    <row r="108" spans="1:32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4">K107*$C107+$C108</f>
        <v>85.7</v>
      </c>
      <c r="L108" s="128">
        <f t="shared" si="14"/>
        <v>73.599999999999994</v>
      </c>
      <c r="M108" s="128">
        <f t="shared" si="14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4"/>
      <c r="AA108" s="136"/>
      <c r="AB108" s="136"/>
      <c r="AC108" s="136"/>
      <c r="AD108" s="136"/>
      <c r="AE108" s="136"/>
    </row>
    <row r="109" spans="1:32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0"/>
      <c r="O109" s="100">
        <v>10</v>
      </c>
      <c r="P109" s="100">
        <v>11</v>
      </c>
      <c r="Q109" s="100">
        <v>12</v>
      </c>
      <c r="R109" s="100">
        <v>13</v>
      </c>
      <c r="S109" s="100">
        <v>14</v>
      </c>
      <c r="T109" s="100">
        <v>15</v>
      </c>
      <c r="U109" s="104"/>
      <c r="V109" s="172" t="s">
        <v>69</v>
      </c>
      <c r="W109" s="35"/>
      <c r="X109" s="96"/>
      <c r="Y109" s="96"/>
      <c r="Z109" s="133"/>
      <c r="AA109" s="96"/>
      <c r="AB109" s="135"/>
      <c r="AC109" s="135"/>
      <c r="AD109" s="135"/>
      <c r="AE109" s="135"/>
    </row>
    <row r="110" spans="1:32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0"/>
      <c r="O110" s="100"/>
      <c r="P110" s="100"/>
      <c r="Q110" s="100"/>
      <c r="R110" s="100"/>
      <c r="S110" s="100"/>
      <c r="T110" s="100"/>
      <c r="U110" s="104"/>
      <c r="V110" s="203">
        <f>($E$107+$E$108)/2</f>
        <v>110</v>
      </c>
      <c r="W110" s="35"/>
      <c r="X110" s="96" t="s">
        <v>48</v>
      </c>
      <c r="Y110" s="96" t="s">
        <v>4</v>
      </c>
      <c r="Z110" s="133" t="s">
        <v>49</v>
      </c>
      <c r="AA110" s="96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2" ht="18" x14ac:dyDescent="0.35">
      <c r="A111" s="60">
        <f>Лист1!F$3</f>
        <v>7</v>
      </c>
      <c r="B111" s="13">
        <f>Лист1!F$7</f>
        <v>505.88099415204687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1.9334575256067319</v>
      </c>
      <c r="D111" s="15">
        <f>C111-E111</f>
        <v>0.98837474777659029</v>
      </c>
      <c r="E111" s="32">
        <f>IF(D112 &gt; $D$110,D112/$B111*100,0)</f>
        <v>0.94508277783014161</v>
      </c>
      <c r="F111" s="120">
        <v>109.9</v>
      </c>
      <c r="G111" s="121">
        <v>97.8</v>
      </c>
      <c r="H111" s="121">
        <v>97.8</v>
      </c>
      <c r="I111" s="121">
        <v>97.8</v>
      </c>
      <c r="J111" s="121">
        <v>107.69090576171874</v>
      </c>
      <c r="K111" s="122"/>
      <c r="L111" s="122"/>
      <c r="M111" s="123"/>
      <c r="N111" s="100"/>
      <c r="O111" s="100"/>
      <c r="P111" s="100"/>
      <c r="Q111" s="100"/>
      <c r="R111" s="100"/>
      <c r="S111" s="100"/>
      <c r="T111" s="100"/>
      <c r="U111" s="104"/>
      <c r="V111" s="41"/>
      <c r="W111" s="17">
        <f>SUM(F111:T111)</f>
        <v>510.99090576171875</v>
      </c>
      <c r="X111" s="96">
        <v>42</v>
      </c>
      <c r="Y111" s="96">
        <v>4</v>
      </c>
      <c r="Z111" s="133">
        <v>22.99090576171875</v>
      </c>
      <c r="AA111" s="96">
        <v>72.00909423828125</v>
      </c>
      <c r="AB111" s="135">
        <v>6</v>
      </c>
      <c r="AC111" s="135">
        <v>2</v>
      </c>
      <c r="AD111" s="135">
        <v>4</v>
      </c>
      <c r="AE111" s="135">
        <v>4</v>
      </c>
      <c r="AF111" s="12">
        <v>12.1</v>
      </c>
    </row>
    <row r="112" spans="1:32" ht="16.95" hidden="1" x14ac:dyDescent="0.3">
      <c r="A112" s="58"/>
      <c r="B112" s="99"/>
      <c r="C112" s="19">
        <f>$C$58*
(SIGN($F111)+SIGN($G111)+SIGN($H111)+SIGN($I111)
+SIGN($J111)+SIGN($K111)+SIGN($L111)+SIGN($M111)
+SIGN($N111)+SIGN($O111)+SIGN($P111)+SIGN($Q111)
+SIGN($R111)+SIGN($S111)+SIGN($T111)+SIGN($U111))</f>
        <v>5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4.780994152046901</v>
      </c>
      <c r="E112" s="129">
        <f>B111</f>
        <v>505.88099415204687</v>
      </c>
      <c r="F112" s="120"/>
      <c r="G112" s="121"/>
      <c r="H112" s="121"/>
      <c r="I112" s="121"/>
      <c r="J112" s="121"/>
      <c r="K112" s="122"/>
      <c r="L112" s="122"/>
      <c r="M112" s="123"/>
      <c r="N112" s="100"/>
      <c r="O112" s="100"/>
      <c r="P112" s="100"/>
      <c r="Q112" s="100"/>
      <c r="R112" s="100"/>
      <c r="S112" s="100"/>
      <c r="T112" s="100"/>
      <c r="U112" s="104"/>
      <c r="V112" s="35"/>
      <c r="W112" s="35"/>
      <c r="X112" s="96"/>
      <c r="Y112" s="96"/>
      <c r="Z112" s="133"/>
      <c r="AA112" s="96"/>
      <c r="AB112" s="135"/>
      <c r="AC112" s="135"/>
      <c r="AD112" s="135"/>
      <c r="AE112" s="135"/>
    </row>
    <row r="113" spans="1:32" ht="16.95" hidden="1" x14ac:dyDescent="0.3">
      <c r="A113" s="58"/>
      <c r="B113" s="99"/>
      <c r="C113" s="22"/>
      <c r="D113" s="22"/>
      <c r="E113" s="22">
        <f>IF(B111&gt;0,(B111/ROUNDUP(ROUNDUP(((B111-($C$108*ROUNDUP(B111/$H$108,0)))/$C$107),0)/$H$107,0)-$C$108)/$C$107,0-$C$108/$C$107)</f>
        <v>8.2790246967280474</v>
      </c>
      <c r="F113" s="120"/>
      <c r="G113" s="121"/>
      <c r="H113" s="121"/>
      <c r="I113" s="121"/>
      <c r="J113" s="121"/>
      <c r="K113" s="122"/>
      <c r="L113" s="122"/>
      <c r="M113" s="123"/>
      <c r="N113" s="100"/>
      <c r="O113" s="100"/>
      <c r="P113" s="100"/>
      <c r="Q113" s="100"/>
      <c r="R113" s="100"/>
      <c r="S113" s="100"/>
      <c r="T113" s="100"/>
      <c r="U113" s="104"/>
      <c r="V113" s="35"/>
      <c r="W113" s="35"/>
      <c r="X113" s="96"/>
      <c r="Y113" s="96"/>
      <c r="Z113" s="133"/>
      <c r="AA113" s="96"/>
      <c r="AB113" s="135"/>
      <c r="AC113" s="135"/>
      <c r="AD113" s="135"/>
      <c r="AE113" s="135"/>
    </row>
    <row r="114" spans="1:32" ht="18" x14ac:dyDescent="0.35">
      <c r="A114" s="60">
        <f>Лист1!G$3</f>
        <v>7.5</v>
      </c>
      <c r="B114" s="13">
        <f>Лист1!G$7</f>
        <v>542.0153508771931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1.7739997329654447</v>
      </c>
      <c r="D114" s="15">
        <f>C114-E114</f>
        <v>0.92248309792481753</v>
      </c>
      <c r="E114" s="32">
        <f>IF(D115 &gt; $D$110,D115/$B114*100,0)</f>
        <v>0.85151663504062713</v>
      </c>
      <c r="F114" s="120">
        <v>109.9</v>
      </c>
      <c r="G114" s="121">
        <v>109.9</v>
      </c>
      <c r="H114" s="121">
        <v>109.9</v>
      </c>
      <c r="I114" s="121">
        <v>109.9</v>
      </c>
      <c r="J114" s="121">
        <v>107.89023437499998</v>
      </c>
      <c r="K114" s="122"/>
      <c r="L114" s="122"/>
      <c r="M114" s="123"/>
      <c r="N114" s="100"/>
      <c r="O114" s="100"/>
      <c r="P114" s="100"/>
      <c r="Q114" s="100"/>
      <c r="R114" s="100"/>
      <c r="S114" s="100"/>
      <c r="T114" s="100"/>
      <c r="U114" s="104"/>
      <c r="V114" s="41"/>
      <c r="W114" s="17">
        <f>SUM(F114:T114)</f>
        <v>547.490234375</v>
      </c>
      <c r="X114" s="96">
        <v>45</v>
      </c>
      <c r="Y114" s="96">
        <v>4</v>
      </c>
      <c r="Z114" s="133">
        <v>59.490234375</v>
      </c>
      <c r="AA114" s="96">
        <v>35.509765625</v>
      </c>
      <c r="AB114" s="135">
        <v>3</v>
      </c>
      <c r="AC114" s="135">
        <v>2</v>
      </c>
      <c r="AD114" s="135">
        <v>2</v>
      </c>
      <c r="AE114" s="135">
        <v>4</v>
      </c>
      <c r="AF114" s="12">
        <v>12.1</v>
      </c>
    </row>
    <row r="115" spans="1:32" ht="16.95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5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4.6153508771931229</v>
      </c>
      <c r="E115" s="129">
        <f>B114</f>
        <v>542.0153508771931</v>
      </c>
      <c r="F115" s="120"/>
      <c r="G115" s="121"/>
      <c r="H115" s="121"/>
      <c r="I115" s="121"/>
      <c r="J115" s="121"/>
      <c r="K115" s="122"/>
      <c r="L115" s="122"/>
      <c r="M115" s="123"/>
      <c r="N115" s="100"/>
      <c r="O115" s="100"/>
      <c r="P115" s="100"/>
      <c r="Q115" s="100"/>
      <c r="R115" s="100"/>
      <c r="S115" s="100"/>
      <c r="T115" s="100"/>
      <c r="U115" s="104"/>
      <c r="V115" s="35"/>
      <c r="W115" s="35"/>
      <c r="X115" s="96"/>
      <c r="Y115" s="96"/>
      <c r="Z115" s="133"/>
      <c r="AA115" s="96"/>
      <c r="AB115" s="135"/>
      <c r="AC115" s="135"/>
      <c r="AD115" s="135"/>
      <c r="AE115" s="135"/>
    </row>
    <row r="116" spans="1:32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8.876286791358563</v>
      </c>
      <c r="F116" s="120"/>
      <c r="G116" s="121"/>
      <c r="H116" s="121"/>
      <c r="I116" s="121"/>
      <c r="J116" s="121"/>
      <c r="K116" s="122"/>
      <c r="L116" s="122"/>
      <c r="M116" s="123"/>
      <c r="N116" s="100"/>
      <c r="O116" s="100"/>
      <c r="P116" s="100"/>
      <c r="Q116" s="100"/>
      <c r="R116" s="100"/>
      <c r="S116" s="100"/>
      <c r="T116" s="100"/>
      <c r="U116" s="104"/>
      <c r="V116" s="35"/>
      <c r="W116" s="35"/>
      <c r="X116" s="96"/>
      <c r="Y116" s="96"/>
      <c r="Z116" s="133"/>
      <c r="AA116" s="96"/>
      <c r="AB116" s="135"/>
      <c r="AC116" s="135"/>
      <c r="AD116" s="135"/>
      <c r="AE116" s="135"/>
    </row>
    <row r="117" spans="1:32" ht="18" x14ac:dyDescent="0.35">
      <c r="A117" s="60">
        <f>Лист1!H$3</f>
        <v>8</v>
      </c>
      <c r="B117" s="13">
        <f>Лист1!H$7</f>
        <v>578.14970760233928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1.6344741644043184</v>
      </c>
      <c r="D117" s="15">
        <f>C117-E117</f>
        <v>0.86482790430451639</v>
      </c>
      <c r="E117" s="32">
        <f>IF(D118 &gt; $D$110,D118/$B117*100,0)</f>
        <v>0.76964626009980197</v>
      </c>
      <c r="F117" s="120">
        <v>122</v>
      </c>
      <c r="G117" s="121">
        <v>122</v>
      </c>
      <c r="H117" s="121">
        <v>122</v>
      </c>
      <c r="I117" s="121">
        <v>109.9</v>
      </c>
      <c r="J117" s="121">
        <v>108.08962402343752</v>
      </c>
      <c r="K117" s="122"/>
      <c r="L117" s="122"/>
      <c r="M117" s="123"/>
      <c r="N117" s="100"/>
      <c r="O117" s="100"/>
      <c r="P117" s="100"/>
      <c r="Q117" s="100"/>
      <c r="R117" s="100"/>
      <c r="S117" s="100"/>
      <c r="T117" s="100"/>
      <c r="U117" s="104"/>
      <c r="V117" s="41"/>
      <c r="W117" s="17">
        <f>SUM(F117:T117)</f>
        <v>583.9896240234375</v>
      </c>
      <c r="X117" s="96">
        <v>48</v>
      </c>
      <c r="Y117" s="96">
        <v>4</v>
      </c>
      <c r="Z117" s="133">
        <v>95.9896240234375</v>
      </c>
      <c r="AA117" s="96"/>
      <c r="AB117" s="135"/>
      <c r="AC117" s="135">
        <v>2</v>
      </c>
      <c r="AD117" s="135">
        <v>1</v>
      </c>
      <c r="AE117" s="135">
        <v>1</v>
      </c>
      <c r="AF117" s="12">
        <v>12.1</v>
      </c>
    </row>
    <row r="118" spans="1:32" ht="16.95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5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4.4497076023393447</v>
      </c>
      <c r="E118" s="129">
        <f>B117</f>
        <v>578.14970760233928</v>
      </c>
      <c r="F118" s="120"/>
      <c r="G118" s="121"/>
      <c r="H118" s="121"/>
      <c r="I118" s="121"/>
      <c r="J118" s="121"/>
      <c r="K118" s="122"/>
      <c r="L118" s="122"/>
      <c r="M118" s="123"/>
      <c r="N118" s="100"/>
      <c r="O118" s="100"/>
      <c r="P118" s="100"/>
      <c r="Q118" s="100"/>
      <c r="R118" s="100"/>
      <c r="S118" s="100"/>
      <c r="T118" s="100"/>
      <c r="U118" s="104"/>
      <c r="V118" s="35"/>
      <c r="W118" s="35"/>
      <c r="X118" s="96"/>
      <c r="Y118" s="96"/>
      <c r="Z118" s="133"/>
      <c r="AA118" s="96"/>
      <c r="AB118" s="135"/>
      <c r="AC118" s="135"/>
      <c r="AD118" s="135"/>
      <c r="AE118" s="135"/>
    </row>
    <row r="119" spans="1:32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9.4735488859890786</v>
      </c>
      <c r="F119" s="120"/>
      <c r="G119" s="121"/>
      <c r="H119" s="121"/>
      <c r="I119" s="121"/>
      <c r="J119" s="121"/>
      <c r="K119" s="122"/>
      <c r="L119" s="122"/>
      <c r="M119" s="123"/>
      <c r="N119" s="100"/>
      <c r="O119" s="100"/>
      <c r="P119" s="100"/>
      <c r="Q119" s="100"/>
      <c r="R119" s="100"/>
      <c r="S119" s="100"/>
      <c r="T119" s="100"/>
      <c r="U119" s="104"/>
      <c r="V119" s="35"/>
      <c r="W119" s="35"/>
      <c r="X119" s="96"/>
      <c r="Y119" s="96"/>
      <c r="Z119" s="133"/>
      <c r="AA119" s="96"/>
      <c r="AB119" s="135"/>
      <c r="AC119" s="135"/>
      <c r="AD119" s="135"/>
      <c r="AE119" s="135"/>
    </row>
    <row r="120" spans="1:32" ht="18" x14ac:dyDescent="0.35">
      <c r="A120" s="60">
        <f>Лист1!I$3</f>
        <v>8.5</v>
      </c>
      <c r="B120" s="13">
        <f>Лист1!I$7</f>
        <v>614.28406432748545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1.5113633686150709</v>
      </c>
      <c r="D120" s="15">
        <f>C120-E120</f>
        <v>0.97674680956745397</v>
      </c>
      <c r="E120" s="32">
        <f>IF(D121 &gt; $D$110,D121/$B120*100,0)</f>
        <v>0.53461655904761696</v>
      </c>
      <c r="F120" s="120">
        <v>109.9</v>
      </c>
      <c r="G120" s="121">
        <v>109.9</v>
      </c>
      <c r="H120" s="121">
        <v>97.8</v>
      </c>
      <c r="I120" s="121">
        <v>97.8</v>
      </c>
      <c r="J120" s="121">
        <v>97.8</v>
      </c>
      <c r="K120" s="122">
        <v>107.2889526367187</v>
      </c>
      <c r="L120" s="122"/>
      <c r="M120" s="123"/>
      <c r="N120" s="100"/>
      <c r="O120" s="100"/>
      <c r="P120" s="100"/>
      <c r="Q120" s="100"/>
      <c r="R120" s="100"/>
      <c r="S120" s="100"/>
      <c r="T120" s="100"/>
      <c r="U120" s="104"/>
      <c r="V120" s="41"/>
      <c r="W120" s="17">
        <f>SUM(F120:T120)</f>
        <v>620.48895263671875</v>
      </c>
      <c r="X120" s="96">
        <v>51</v>
      </c>
      <c r="Y120" s="96">
        <v>5</v>
      </c>
      <c r="Z120" s="133">
        <v>10.48895263671875</v>
      </c>
      <c r="AA120" s="96">
        <v>84.51104736328125</v>
      </c>
      <c r="AB120" s="135">
        <v>7</v>
      </c>
      <c r="AC120" s="135">
        <v>2</v>
      </c>
      <c r="AD120" s="135">
        <v>4</v>
      </c>
      <c r="AE120" s="135">
        <v>5</v>
      </c>
      <c r="AF120" s="12">
        <v>12.1</v>
      </c>
    </row>
    <row r="121" spans="1:32" ht="16.95" hidden="1" x14ac:dyDescent="0.3">
      <c r="A121" s="58"/>
      <c r="B121" s="101"/>
      <c r="C121" s="19">
        <f>$C$58*
(SIGN($F120)+SIGN($G120)+SIGN($H120)+SIGN($I120)
+SIGN($J120)+SIGN($K120)+SIGN($L120)+SIGN($M120)
+SIGN($N120)+SIGN($O120)+SIGN($P120)+SIGN($Q120)
+SIGN($R120)+SIGN($S120)+SIGN($T120)+SIGN($U120))</f>
        <v>6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3.2840643274854528</v>
      </c>
      <c r="E121" s="129">
        <f>B120</f>
        <v>614.28406432748545</v>
      </c>
      <c r="F121" s="120"/>
      <c r="G121" s="121"/>
      <c r="H121" s="121"/>
      <c r="I121" s="121"/>
      <c r="J121" s="122"/>
      <c r="K121" s="122"/>
      <c r="L121" s="122"/>
      <c r="M121" s="123"/>
      <c r="N121" s="100"/>
      <c r="O121" s="100"/>
      <c r="P121" s="100"/>
      <c r="Q121" s="100"/>
      <c r="R121" s="100"/>
      <c r="S121" s="100"/>
      <c r="T121" s="100"/>
      <c r="U121" s="104"/>
      <c r="V121" s="35"/>
      <c r="W121" s="35"/>
      <c r="X121" s="96"/>
      <c r="Y121" s="96"/>
      <c r="Z121" s="133"/>
      <c r="AA121" s="96"/>
      <c r="AB121" s="135"/>
      <c r="AC121" s="135"/>
      <c r="AD121" s="135"/>
      <c r="AE121" s="135"/>
    </row>
    <row r="122" spans="1:32" ht="16.95" hidden="1" x14ac:dyDescent="0.3">
      <c r="A122" s="58"/>
      <c r="B122" s="101"/>
      <c r="C122" s="22"/>
      <c r="D122" s="22"/>
      <c r="E122" s="22">
        <f>IF(B120&gt;0,(B120/ROUNDUP(ROUNDUP(((B120-($C$108*ROUNDUP(B120/$H$108,0)))/$C$107),0)/$H$107,0)-$C$108)/$C$107,0-$C$108/$C$107)</f>
        <v>8.3785683791664667</v>
      </c>
      <c r="F122" s="120"/>
      <c r="G122" s="121"/>
      <c r="H122" s="121"/>
      <c r="I122" s="121"/>
      <c r="J122" s="122"/>
      <c r="K122" s="122"/>
      <c r="L122" s="122"/>
      <c r="M122" s="123"/>
      <c r="N122" s="100"/>
      <c r="O122" s="100"/>
      <c r="P122" s="100"/>
      <c r="Q122" s="100"/>
      <c r="R122" s="100"/>
      <c r="S122" s="100"/>
      <c r="T122" s="100"/>
      <c r="U122" s="104"/>
      <c r="V122" s="35"/>
      <c r="W122" s="35"/>
      <c r="X122" s="96"/>
      <c r="Y122" s="96"/>
      <c r="Z122" s="133"/>
      <c r="AA122" s="96"/>
      <c r="AB122" s="135"/>
      <c r="AC122" s="135"/>
      <c r="AD122" s="135"/>
      <c r="AE122" s="135"/>
    </row>
    <row r="123" spans="1:32" ht="18" x14ac:dyDescent="0.35">
      <c r="A123" s="60">
        <f>Лист1!J$3</f>
        <v>9</v>
      </c>
      <c r="B123" s="13">
        <f>Лист1!J$7</f>
        <v>650.41842105263163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1.4019315501357572</v>
      </c>
      <c r="D123" s="15">
        <f>C123-E123</f>
        <v>0.92248309792481753</v>
      </c>
      <c r="E123" s="32">
        <f>IF(D124 &gt; $D$110,D124/$B123*100,0)</f>
        <v>0.47944845221093962</v>
      </c>
      <c r="F123" s="78">
        <v>109.9</v>
      </c>
      <c r="G123" s="79">
        <v>109.9</v>
      </c>
      <c r="H123" s="79">
        <v>109.9</v>
      </c>
      <c r="I123" s="79">
        <v>109.9</v>
      </c>
      <c r="J123" s="79">
        <v>109.9</v>
      </c>
      <c r="K123" s="79">
        <v>107.48828125</v>
      </c>
      <c r="L123" s="79"/>
      <c r="M123" s="80"/>
      <c r="N123" s="38"/>
      <c r="O123" s="38"/>
      <c r="P123" s="38"/>
      <c r="Q123" s="38"/>
      <c r="R123" s="39"/>
      <c r="S123" s="63"/>
      <c r="T123" s="63"/>
      <c r="U123" s="102"/>
      <c r="V123" s="41"/>
      <c r="W123" s="17">
        <f>SUM(F123:T123)</f>
        <v>656.98828125</v>
      </c>
      <c r="X123" s="135">
        <v>54</v>
      </c>
      <c r="Y123" s="135">
        <v>5</v>
      </c>
      <c r="Z123" s="133">
        <v>46.98828125</v>
      </c>
      <c r="AA123" s="135">
        <v>48.01171875</v>
      </c>
      <c r="AB123" s="135">
        <v>4</v>
      </c>
      <c r="AC123" s="135">
        <v>2</v>
      </c>
      <c r="AD123" s="135">
        <v>3</v>
      </c>
      <c r="AE123" s="135">
        <v>5</v>
      </c>
      <c r="AF123" s="12">
        <v>12.1</v>
      </c>
    </row>
    <row r="124" spans="1:32" ht="16.95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6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3.1184210526316747</v>
      </c>
      <c r="E124" s="129">
        <f>B123</f>
        <v>650.41842105263163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133"/>
      <c r="AA124" s="135"/>
      <c r="AB124" s="135"/>
      <c r="AC124" s="135"/>
      <c r="AD124" s="135"/>
      <c r="AE124" s="135"/>
    </row>
    <row r="125" spans="1:32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8.876286791358563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63"/>
      <c r="T125" s="63"/>
      <c r="U125" s="102"/>
      <c r="V125" s="41"/>
      <c r="W125" s="17"/>
      <c r="X125" s="135"/>
      <c r="Y125" s="135"/>
      <c r="Z125" s="133"/>
      <c r="AA125" s="135"/>
      <c r="AB125" s="135"/>
      <c r="AC125" s="135"/>
      <c r="AD125" s="135"/>
      <c r="AE125" s="135"/>
    </row>
    <row r="126" spans="1:32" ht="18" x14ac:dyDescent="0.35">
      <c r="A126" s="60">
        <f>Лист1!K$3</f>
        <v>9.5</v>
      </c>
      <c r="B126" s="13">
        <f>Лист1!K$7</f>
        <v>686.55277777777792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1.3040188704437394</v>
      </c>
      <c r="D126" s="15">
        <f>C126-E126</f>
        <v>1.3040188704437394</v>
      </c>
      <c r="E126" s="32">
        <f>IF(D127 &gt; $D$110,D127/$B126*100,0)</f>
        <v>0</v>
      </c>
      <c r="F126" s="78">
        <v>122</v>
      </c>
      <c r="G126" s="79">
        <v>122</v>
      </c>
      <c r="H126" s="79">
        <v>122</v>
      </c>
      <c r="I126" s="79">
        <v>109.9</v>
      </c>
      <c r="J126" s="79">
        <v>109.9</v>
      </c>
      <c r="K126" s="79">
        <v>107.68767089843755</v>
      </c>
      <c r="L126" s="79"/>
      <c r="M126" s="80"/>
      <c r="N126" s="38"/>
      <c r="O126" s="38"/>
      <c r="P126" s="38"/>
      <c r="Q126" s="38"/>
      <c r="R126" s="39"/>
      <c r="S126" s="63"/>
      <c r="T126" s="63"/>
      <c r="U126" s="102"/>
      <c r="V126" s="41"/>
      <c r="W126" s="17">
        <f>SUM(F126:T126)</f>
        <v>693.4876708984375</v>
      </c>
      <c r="X126" s="135">
        <v>57</v>
      </c>
      <c r="Y126" s="135">
        <v>5</v>
      </c>
      <c r="Z126" s="133">
        <v>83.4876708984375</v>
      </c>
      <c r="AA126" s="135">
        <v>11.5123291015625</v>
      </c>
      <c r="AB126" s="135">
        <v>1</v>
      </c>
      <c r="AC126" s="135">
        <v>2</v>
      </c>
      <c r="AD126" s="135">
        <v>1</v>
      </c>
      <c r="AE126" s="135">
        <v>2</v>
      </c>
      <c r="AF126" s="12">
        <v>12.1</v>
      </c>
    </row>
    <row r="127" spans="1:32" ht="16.95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6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2.9527777777778965</v>
      </c>
      <c r="E127" s="129">
        <f>B126</f>
        <v>686.55277777777792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133"/>
      <c r="AA127" s="135"/>
      <c r="AB127" s="135"/>
      <c r="AC127" s="135"/>
      <c r="AD127" s="135"/>
      <c r="AE127" s="135"/>
    </row>
    <row r="128" spans="1:32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9.3740052035506594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63"/>
      <c r="T128" s="63"/>
      <c r="U128" s="102"/>
      <c r="V128" s="41"/>
      <c r="W128" s="17"/>
      <c r="X128" s="135"/>
      <c r="Y128" s="135"/>
      <c r="Z128" s="133"/>
      <c r="AA128" s="135"/>
      <c r="AB128" s="135"/>
      <c r="AC128" s="135"/>
      <c r="AD128" s="135"/>
      <c r="AE128" s="135"/>
    </row>
    <row r="129" spans="1:32" ht="18" x14ac:dyDescent="0.35">
      <c r="A129" s="60">
        <f>Лист1!L$3</f>
        <v>10</v>
      </c>
      <c r="B129" s="13">
        <f>Лист1!L$7</f>
        <v>722.6871345029241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1.2158974587209237</v>
      </c>
      <c r="D129" s="15">
        <f>C129-E129</f>
        <v>1.2158974587209237</v>
      </c>
      <c r="E129" s="32">
        <f>IF(D130 &gt; $D$110,D130/$B129*100,0)</f>
        <v>0</v>
      </c>
      <c r="F129" s="78">
        <v>109.9</v>
      </c>
      <c r="G129" s="79">
        <v>109.9</v>
      </c>
      <c r="H129" s="79">
        <v>109.9</v>
      </c>
      <c r="I129" s="79">
        <v>97.8</v>
      </c>
      <c r="J129" s="79">
        <v>97.8</v>
      </c>
      <c r="K129" s="79">
        <v>97.8</v>
      </c>
      <c r="L129" s="79">
        <v>106.88699951171873</v>
      </c>
      <c r="M129" s="80"/>
      <c r="N129" s="38"/>
      <c r="O129" s="38"/>
      <c r="P129" s="38"/>
      <c r="Q129" s="38"/>
      <c r="R129" s="39"/>
      <c r="S129" s="63"/>
      <c r="T129" s="63"/>
      <c r="U129" s="102"/>
      <c r="V129" s="41"/>
      <c r="W129" s="17">
        <f>SUM(F129:T129)</f>
        <v>729.98699951171875</v>
      </c>
      <c r="X129" s="135">
        <v>60</v>
      </c>
      <c r="Y129" s="135">
        <v>6</v>
      </c>
      <c r="Z129" s="133">
        <v>-2.01300048828125</v>
      </c>
      <c r="AA129" s="135">
        <v>97.01300048828125</v>
      </c>
      <c r="AB129" s="135">
        <v>9</v>
      </c>
      <c r="AC129" s="135">
        <v>2</v>
      </c>
      <c r="AD129" s="135">
        <v>5</v>
      </c>
      <c r="AE129" s="135">
        <v>6</v>
      </c>
    </row>
    <row r="130" spans="1:32" ht="18.899999999999999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7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1.7871345029241184</v>
      </c>
      <c r="E130" s="129">
        <f>B129</f>
        <v>722.6871345029241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133"/>
      <c r="AA130" s="135"/>
      <c r="AB130" s="135"/>
      <c r="AC130" s="135"/>
      <c r="AD130" s="135"/>
      <c r="AE130" s="135"/>
    </row>
    <row r="131" spans="1:32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9.8717236157427557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63"/>
      <c r="T131" s="63"/>
      <c r="U131" s="102"/>
      <c r="V131" s="41"/>
      <c r="W131" s="17"/>
      <c r="X131" s="135"/>
      <c r="Y131" s="135"/>
      <c r="Z131" s="133"/>
      <c r="AA131" s="135"/>
      <c r="AB131" s="135"/>
      <c r="AC131" s="135"/>
      <c r="AD131" s="135"/>
      <c r="AE131" s="135"/>
    </row>
    <row r="132" spans="1:32" ht="18" x14ac:dyDescent="0.35">
      <c r="A132" s="60">
        <f>Лист1!M$3</f>
        <v>10.5</v>
      </c>
      <c r="B132" s="13">
        <f>Лист1!M$7</f>
        <v>758.82149122807027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1.1361685624002809</v>
      </c>
      <c r="D132" s="15">
        <f>C132-E132</f>
        <v>1.1361685624002809</v>
      </c>
      <c r="E132" s="32">
        <f>IF(D133 &gt; $D$110,D133/$B132*100,0)</f>
        <v>0</v>
      </c>
      <c r="F132" s="78">
        <v>109.9</v>
      </c>
      <c r="G132" s="79">
        <v>109.9</v>
      </c>
      <c r="H132" s="79">
        <v>109.9</v>
      </c>
      <c r="I132" s="79">
        <v>109.9</v>
      </c>
      <c r="J132" s="79">
        <v>109.9</v>
      </c>
      <c r="K132" s="79">
        <v>109.9</v>
      </c>
      <c r="L132" s="79">
        <v>107.08632812500002</v>
      </c>
      <c r="M132" s="80"/>
      <c r="N132" s="38"/>
      <c r="O132" s="38"/>
      <c r="P132" s="38"/>
      <c r="Q132" s="38"/>
      <c r="R132" s="39"/>
      <c r="S132" s="63"/>
      <c r="T132" s="63"/>
      <c r="U132" s="102"/>
      <c r="V132" s="41"/>
      <c r="W132" s="17">
        <f>SUM(F132:T132)</f>
        <v>766.486328125</v>
      </c>
      <c r="X132" s="135">
        <v>63</v>
      </c>
      <c r="Y132" s="135">
        <v>6</v>
      </c>
      <c r="Z132" s="133">
        <v>34.486328125</v>
      </c>
      <c r="AA132" s="135">
        <v>60.513671875</v>
      </c>
      <c r="AB132" s="135">
        <v>6</v>
      </c>
      <c r="AC132" s="135">
        <v>2</v>
      </c>
      <c r="AD132" s="135">
        <v>3</v>
      </c>
      <c r="AE132" s="135">
        <v>6</v>
      </c>
    </row>
    <row r="133" spans="1:32" ht="18.899999999999999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7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1.6214912280703402</v>
      </c>
      <c r="E133" s="129">
        <f>B132</f>
        <v>758.82149122807027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133"/>
      <c r="AA133" s="135"/>
      <c r="AB133" s="135"/>
      <c r="AC133" s="135"/>
      <c r="AD133" s="135"/>
      <c r="AE133" s="135"/>
    </row>
    <row r="134" spans="1:32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8.876286791358563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63"/>
      <c r="T134" s="63"/>
      <c r="U134" s="102"/>
      <c r="V134" s="41"/>
      <c r="W134" s="17"/>
      <c r="X134" s="135"/>
      <c r="Y134" s="135"/>
      <c r="Z134" s="133"/>
      <c r="AA134" s="135"/>
      <c r="AB134" s="135"/>
      <c r="AC134" s="135"/>
      <c r="AD134" s="135"/>
      <c r="AE134" s="135"/>
    </row>
    <row r="135" spans="1:32" ht="18" x14ac:dyDescent="0.35">
      <c r="A135" s="60">
        <f>Лист1!N$3</f>
        <v>11</v>
      </c>
      <c r="B135" s="13">
        <f>Лист1!N$7</f>
        <v>794.95584795321656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1.0636877475633328</v>
      </c>
      <c r="D135" s="15">
        <f>C135-E135</f>
        <v>1.0636877475633328</v>
      </c>
      <c r="E135" s="32">
        <f>IF(D136 &gt; $D$110,D136/$B135*100,0)</f>
        <v>0</v>
      </c>
      <c r="F135" s="78">
        <v>122</v>
      </c>
      <c r="G135" s="79">
        <v>122</v>
      </c>
      <c r="H135" s="79">
        <v>122</v>
      </c>
      <c r="I135" s="79">
        <v>109.9</v>
      </c>
      <c r="J135" s="79">
        <v>109.9</v>
      </c>
      <c r="K135" s="79">
        <v>109.9</v>
      </c>
      <c r="L135" s="79">
        <v>107.28571777343757</v>
      </c>
      <c r="M135" s="80"/>
      <c r="N135" s="38"/>
      <c r="O135" s="38"/>
      <c r="P135" s="38"/>
      <c r="Q135" s="38"/>
      <c r="R135" s="39"/>
      <c r="S135" s="63"/>
      <c r="T135" s="63"/>
      <c r="U135" s="102"/>
      <c r="V135" s="41"/>
      <c r="W135" s="17">
        <f>SUM(F135:T135)</f>
        <v>802.9857177734375</v>
      </c>
      <c r="X135" s="135">
        <v>66</v>
      </c>
      <c r="Y135" s="135">
        <v>6</v>
      </c>
      <c r="Z135" s="133">
        <v>70.9857177734375</v>
      </c>
      <c r="AA135" s="135">
        <v>24.0142822265625</v>
      </c>
      <c r="AB135" s="135">
        <v>2</v>
      </c>
      <c r="AC135" s="135">
        <v>2</v>
      </c>
      <c r="AD135" s="135">
        <v>2</v>
      </c>
      <c r="AE135" s="135">
        <v>3</v>
      </c>
      <c r="AF135" s="12">
        <v>12.1</v>
      </c>
    </row>
    <row r="136" spans="1:32" ht="18.899999999999999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7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1.455847953216562</v>
      </c>
      <c r="E136" s="129">
        <f>B135</f>
        <v>794.95584795321656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133"/>
      <c r="AA136" s="135"/>
      <c r="AB136" s="135"/>
      <c r="AC136" s="135"/>
      <c r="AD136" s="135"/>
      <c r="AE136" s="135"/>
    </row>
    <row r="137" spans="1:32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9.302902573237505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63"/>
      <c r="T137" s="63"/>
      <c r="U137" s="102"/>
      <c r="V137" s="41"/>
      <c r="W137" s="17"/>
      <c r="X137" s="135"/>
      <c r="Y137" s="135"/>
      <c r="Z137" s="133"/>
      <c r="AA137" s="135"/>
      <c r="AB137" s="135"/>
      <c r="AC137" s="135"/>
      <c r="AD137" s="135"/>
      <c r="AE137" s="135"/>
    </row>
    <row r="138" spans="1:32" ht="18" x14ac:dyDescent="0.35">
      <c r="A138" s="60">
        <f>Лист1!O$3</f>
        <v>11.2</v>
      </c>
      <c r="B138" s="13">
        <f>Лист1!O$7</f>
        <v>809.4095906432749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1.3354908032018742</v>
      </c>
      <c r="D138" s="15">
        <f>C138-E138</f>
        <v>0.8648279043045165</v>
      </c>
      <c r="E138" s="32">
        <f>IF(D139 &gt; $D$110,D139/$B138*100,0)</f>
        <v>0.47066289889735768</v>
      </c>
      <c r="F138" s="78">
        <v>122</v>
      </c>
      <c r="G138" s="79">
        <v>122</v>
      </c>
      <c r="H138" s="79">
        <v>122</v>
      </c>
      <c r="I138" s="79">
        <v>122</v>
      </c>
      <c r="J138" s="79">
        <v>109.9</v>
      </c>
      <c r="K138" s="79">
        <v>109.9</v>
      </c>
      <c r="L138" s="79">
        <v>109.78544921875005</v>
      </c>
      <c r="M138" s="80"/>
      <c r="N138" s="38"/>
      <c r="O138" s="38"/>
      <c r="P138" s="38"/>
      <c r="Q138" s="38"/>
      <c r="R138" s="39"/>
      <c r="S138" s="63"/>
      <c r="T138" s="63"/>
      <c r="U138" s="102"/>
      <c r="V138" s="41"/>
      <c r="W138" s="17">
        <f>SUM(F138:T138)</f>
        <v>817.58544921875</v>
      </c>
      <c r="X138" s="135">
        <v>67</v>
      </c>
      <c r="Y138" s="135">
        <v>6</v>
      </c>
      <c r="Z138" s="133">
        <v>85.58544921875</v>
      </c>
      <c r="AA138" s="135">
        <v>9.41455078125</v>
      </c>
      <c r="AB138" s="135">
        <v>1</v>
      </c>
      <c r="AC138" s="135">
        <v>2</v>
      </c>
      <c r="AD138" s="135">
        <v>1</v>
      </c>
      <c r="AE138" s="135">
        <v>2</v>
      </c>
      <c r="AF138" s="12">
        <v>12.1</v>
      </c>
    </row>
    <row r="139" spans="1:32" ht="18.899999999999999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7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3.8095906432748734</v>
      </c>
      <c r="E139" s="129">
        <f>B138</f>
        <v>809.4095906432749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133"/>
      <c r="AA139" s="135"/>
      <c r="AB139" s="135"/>
      <c r="AC139" s="135"/>
      <c r="AD139" s="135"/>
      <c r="AE139" s="135"/>
    </row>
    <row r="140" spans="1:32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9.4735488859890786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63"/>
      <c r="T140" s="63"/>
      <c r="U140" s="102"/>
      <c r="V140" s="41"/>
      <c r="W140" s="17"/>
      <c r="X140" s="135"/>
      <c r="Y140" s="135"/>
      <c r="Z140" s="133"/>
      <c r="AA140" s="135"/>
      <c r="AB140" s="135"/>
      <c r="AC140" s="135"/>
      <c r="AD140" s="135"/>
      <c r="AE140" s="135"/>
    </row>
    <row r="141" spans="1:32" ht="18" x14ac:dyDescent="0.35">
      <c r="A141" s="60">
        <f>Лист1!P$3</f>
        <v>11.4</v>
      </c>
      <c r="B141" s="13">
        <f>Лист1!P$7</f>
        <v>823.86333333333346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0.12906671413950166</v>
      </c>
      <c r="D141" s="15">
        <f>C141-E141</f>
        <v>0.12906671413950166</v>
      </c>
      <c r="E141" s="32">
        <f>IF(D142 &gt; $D$110,D142/$B141*100,0)</f>
        <v>0</v>
      </c>
      <c r="F141" s="78">
        <v>122</v>
      </c>
      <c r="G141" s="79">
        <v>122</v>
      </c>
      <c r="H141" s="79">
        <v>122</v>
      </c>
      <c r="I141" s="79">
        <v>122</v>
      </c>
      <c r="J141" s="79">
        <v>122</v>
      </c>
      <c r="K141" s="79">
        <v>109.9</v>
      </c>
      <c r="L141" s="79">
        <v>112.28518066406252</v>
      </c>
      <c r="M141" s="80"/>
      <c r="N141" s="38"/>
      <c r="O141" s="38"/>
      <c r="P141" s="38"/>
      <c r="Q141" s="38"/>
      <c r="R141" s="39"/>
      <c r="S141" s="63"/>
      <c r="T141" s="63"/>
      <c r="U141" s="102"/>
      <c r="V141" s="41"/>
      <c r="W141" s="17">
        <f>SUM(F141:T141)</f>
        <v>832.1851806640625</v>
      </c>
      <c r="X141" s="135">
        <v>68</v>
      </c>
      <c r="Y141" s="135">
        <v>6</v>
      </c>
      <c r="Z141" s="133">
        <v>100.1851806640625</v>
      </c>
      <c r="AA141" s="135"/>
      <c r="AB141" s="135"/>
      <c r="AC141" s="135">
        <v>2</v>
      </c>
      <c r="AD141" s="135">
        <v>1</v>
      </c>
      <c r="AE141" s="135">
        <v>1</v>
      </c>
      <c r="AF141" s="12">
        <v>12.1</v>
      </c>
    </row>
    <row r="142" spans="1:32" ht="18.899999999999999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7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-5.9366666666664969</v>
      </c>
      <c r="E142" s="129">
        <f>B141</f>
        <v>823.86333333333346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133"/>
      <c r="AA142" s="135"/>
      <c r="AB142" s="135"/>
      <c r="AC142" s="135"/>
      <c r="AD142" s="135"/>
      <c r="AE142" s="135"/>
    </row>
    <row r="143" spans="1:32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9.644195198740654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63"/>
      <c r="T143" s="63"/>
      <c r="U143" s="102"/>
      <c r="V143" s="41"/>
      <c r="W143" s="17"/>
      <c r="X143" s="135"/>
      <c r="Y143" s="135"/>
      <c r="Z143" s="133"/>
      <c r="AA143" s="135"/>
      <c r="AB143" s="135"/>
      <c r="AC143" s="135"/>
      <c r="AD143" s="135"/>
      <c r="AE143" s="135"/>
    </row>
    <row r="144" spans="1:32" ht="18" x14ac:dyDescent="0.35">
      <c r="A144" s="60">
        <f>Лист1!Q$3</f>
        <v>11.6</v>
      </c>
      <c r="B144" s="27">
        <f>Лист1!Q$7</f>
        <v>838.31707602339191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0.40761140636679333</v>
      </c>
      <c r="D144" s="15">
        <f>C144-E144</f>
        <v>0.40761140636679333</v>
      </c>
      <c r="E144" s="32">
        <f>IF(D145 &gt; $D$110,D145/$B144*100,0)</f>
        <v>0</v>
      </c>
      <c r="F144" s="85">
        <v>122</v>
      </c>
      <c r="G144" s="82">
        <v>122</v>
      </c>
      <c r="H144" s="82">
        <v>122</v>
      </c>
      <c r="I144" s="82">
        <v>122</v>
      </c>
      <c r="J144" s="82">
        <v>122</v>
      </c>
      <c r="K144" s="82">
        <v>122</v>
      </c>
      <c r="L144" s="82">
        <v>114.784912109375</v>
      </c>
      <c r="M144" s="86"/>
      <c r="N144" s="38"/>
      <c r="O144" s="38"/>
      <c r="P144" s="38"/>
      <c r="Q144" s="38"/>
      <c r="R144" s="39"/>
      <c r="S144" s="63"/>
      <c r="T144" s="63"/>
      <c r="U144" s="102"/>
      <c r="V144" s="171"/>
      <c r="W144" s="28">
        <f>SUM(F144:T144)</f>
        <v>846.784912109375</v>
      </c>
      <c r="X144" s="135">
        <v>69</v>
      </c>
      <c r="Y144" s="135">
        <v>6</v>
      </c>
      <c r="Z144" s="133">
        <v>114.784912109375</v>
      </c>
      <c r="AA144" s="135"/>
      <c r="AB144" s="135"/>
      <c r="AC144" s="135"/>
      <c r="AD144" s="135"/>
      <c r="AE144" s="135"/>
    </row>
    <row r="145" spans="1:31" ht="18.899999999999999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7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-3.5829239766080718</v>
      </c>
      <c r="E145" s="129">
        <f>B144</f>
        <v>838.31707602339191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133"/>
      <c r="AA145" s="135"/>
      <c r="AB145" s="135"/>
      <c r="AC145" s="135"/>
      <c r="AD145" s="135"/>
      <c r="AE145" s="135"/>
    </row>
    <row r="146" spans="1:3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9.8148415114922312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63"/>
      <c r="T146" s="63"/>
      <c r="U146" s="102"/>
      <c r="V146" s="41"/>
      <c r="W146" s="17"/>
      <c r="X146" s="135"/>
      <c r="Y146" s="135"/>
      <c r="Z146" s="133"/>
      <c r="AA146" s="135"/>
      <c r="AB146" s="135"/>
      <c r="AC146" s="135"/>
      <c r="AD146" s="135"/>
      <c r="AE146" s="135"/>
    </row>
    <row r="147" spans="1:31" ht="18" x14ac:dyDescent="0.35">
      <c r="A147" s="60">
        <f>Лист1!R$3</f>
        <v>11.8</v>
      </c>
      <c r="B147" s="13">
        <f>Лист1!R$7</f>
        <v>852.77081871345047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0.67671390563724099</v>
      </c>
      <c r="D147" s="15">
        <f>C147-E147</f>
        <v>0.67671390563724099</v>
      </c>
      <c r="E147" s="32">
        <f>IF(D148 &gt; $D$110,D148/$B147*100,0)</f>
        <v>0</v>
      </c>
      <c r="F147" s="78">
        <v>109.9</v>
      </c>
      <c r="G147" s="79">
        <v>109.9</v>
      </c>
      <c r="H147" s="79">
        <v>109.9</v>
      </c>
      <c r="I147" s="79">
        <v>109.9</v>
      </c>
      <c r="J147" s="79">
        <v>109.9</v>
      </c>
      <c r="K147" s="79">
        <v>109.9</v>
      </c>
      <c r="L147" s="79">
        <v>97.8</v>
      </c>
      <c r="M147" s="80">
        <v>104.18464355468757</v>
      </c>
      <c r="N147" s="38"/>
      <c r="O147" s="38"/>
      <c r="P147" s="38"/>
      <c r="Q147" s="38"/>
      <c r="R147" s="39"/>
      <c r="S147" s="63"/>
      <c r="T147" s="63"/>
      <c r="U147" s="102"/>
      <c r="V147" s="41"/>
      <c r="W147" s="17">
        <f>SUM(F147:T147)</f>
        <v>861.3846435546875</v>
      </c>
      <c r="X147" s="135">
        <v>71</v>
      </c>
      <c r="Y147" s="135">
        <v>7</v>
      </c>
      <c r="Z147" s="133">
        <v>7.3846435546875</v>
      </c>
      <c r="AA147" s="135">
        <v>87.6153564453125</v>
      </c>
      <c r="AB147" s="135">
        <v>8</v>
      </c>
      <c r="AC147" s="135">
        <v>2</v>
      </c>
      <c r="AD147" s="135">
        <v>4</v>
      </c>
      <c r="AE147" s="135">
        <v>7</v>
      </c>
    </row>
    <row r="148" spans="1:31" ht="18.899999999999999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8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-2.2291812865495331</v>
      </c>
      <c r="E148" s="129">
        <f>B147</f>
        <v>852.77081871345047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133"/>
      <c r="AA148" s="135"/>
      <c r="AB148" s="135"/>
      <c r="AC148" s="135"/>
      <c r="AD148" s="135"/>
      <c r="AE148" s="135"/>
    </row>
    <row r="149" spans="1:3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9.9854878242438065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63"/>
      <c r="T149" s="63"/>
      <c r="U149" s="102"/>
      <c r="V149" s="41"/>
      <c r="W149" s="17"/>
      <c r="X149" s="135"/>
      <c r="Y149" s="135"/>
      <c r="Z149" s="133"/>
      <c r="AA149" s="135"/>
      <c r="AB149" s="135"/>
      <c r="AC149" s="135"/>
      <c r="AD149" s="135"/>
      <c r="AE149" s="135"/>
    </row>
    <row r="150" spans="1:31" ht="18" x14ac:dyDescent="0.35">
      <c r="A150" s="60">
        <f>Лист1!S$3</f>
        <v>12</v>
      </c>
      <c r="B150" s="13">
        <f>Лист1!S$7</f>
        <v>867.22456140350891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0.93684632159866077</v>
      </c>
      <c r="D150" s="15">
        <f>C150-E150</f>
        <v>0.93684632159866077</v>
      </c>
      <c r="E150" s="32">
        <f>IF(D151 &gt; $D$110,D151/$B150*100,0)</f>
        <v>0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109.9</v>
      </c>
      <c r="L150" s="88">
        <v>109.9</v>
      </c>
      <c r="M150" s="89">
        <v>106.68437500000005</v>
      </c>
      <c r="N150" s="16"/>
      <c r="O150" s="38"/>
      <c r="P150" s="38"/>
      <c r="Q150" s="38"/>
      <c r="R150" s="39"/>
      <c r="S150" s="63"/>
      <c r="T150" s="63"/>
      <c r="U150" s="102"/>
      <c r="V150" s="41"/>
      <c r="W150" s="17">
        <f>SUM(F150:T150)</f>
        <v>875.984375</v>
      </c>
      <c r="X150" s="135">
        <v>72</v>
      </c>
      <c r="Y150" s="135">
        <v>7</v>
      </c>
      <c r="Z150" s="133">
        <v>21.984375</v>
      </c>
      <c r="AA150" s="137">
        <v>73.015625</v>
      </c>
      <c r="AB150" s="135">
        <v>7</v>
      </c>
      <c r="AC150" s="135">
        <v>2</v>
      </c>
      <c r="AD150" s="135">
        <v>4</v>
      </c>
      <c r="AE150" s="135">
        <v>7</v>
      </c>
    </row>
    <row r="151" spans="1:3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8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0.124561403508892</v>
      </c>
      <c r="E151" s="129">
        <f>B150</f>
        <v>867.22456140350891</v>
      </c>
      <c r="F151" s="20"/>
      <c r="G151" s="26"/>
      <c r="H151" s="26"/>
      <c r="I151" s="26"/>
      <c r="J151" s="26"/>
      <c r="K151" s="26"/>
      <c r="L151" s="26"/>
      <c r="M151" s="26"/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133"/>
      <c r="AA151" s="135"/>
      <c r="AB151" s="135"/>
      <c r="AC151" s="135"/>
      <c r="AD151" s="135"/>
      <c r="AE151" s="135"/>
    </row>
    <row r="152" spans="1:3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8.876286791358563</v>
      </c>
      <c r="F152" s="54"/>
      <c r="G152" s="53"/>
      <c r="H152" s="53"/>
      <c r="I152" s="53"/>
      <c r="J152" s="53"/>
      <c r="K152" s="53"/>
      <c r="L152" s="53"/>
      <c r="M152" s="53"/>
      <c r="N152" s="22"/>
      <c r="P152" s="38"/>
      <c r="Q152" s="38"/>
      <c r="R152" s="39"/>
      <c r="S152" s="63"/>
      <c r="T152" s="63"/>
      <c r="U152" s="102"/>
      <c r="V152" s="41"/>
      <c r="W152" s="17"/>
      <c r="X152" s="135"/>
      <c r="Y152" s="135"/>
      <c r="Z152" s="133"/>
      <c r="AA152" s="135"/>
      <c r="AB152" s="135"/>
      <c r="AC152" s="135"/>
      <c r="AD152" s="135"/>
      <c r="AE152" s="135"/>
    </row>
    <row r="153" spans="1:31" ht="17.399999999999999" x14ac:dyDescent="0.35">
      <c r="B153" s="30" t="s">
        <v>28</v>
      </c>
      <c r="C153" s="31">
        <f>AVERAGE(C111,C114,C117,C120,C123,C126,C129,C132,C135,C138,C141,C144,C147,C150,)</f>
        <v>1.0973818754533116</v>
      </c>
      <c r="D153" s="31">
        <f>AVERAGE(D111,D114,D117,D120,D123,D126,D129,D132,D135,D138,D141,D144,D147,D150,)</f>
        <v>0.8273169699115458</v>
      </c>
      <c r="E153" s="31">
        <f>AVERAGE(E111,E114,E117,E120,E123,E126,E129,E132,E135,E138,E141,E144,E147,E150,)</f>
        <v>0.27006490554176565</v>
      </c>
      <c r="X153" s="96" t="s">
        <v>48</v>
      </c>
      <c r="Y153" s="96" t="s">
        <v>4</v>
      </c>
      <c r="Z153" s="133" t="s">
        <v>49</v>
      </c>
      <c r="AA153" s="96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</row>
  </sheetData>
  <mergeCells count="33">
    <mergeCell ref="A7:A9"/>
    <mergeCell ref="B9:B10"/>
    <mergeCell ref="C9:C10"/>
    <mergeCell ref="F9:F10"/>
    <mergeCell ref="B109:B110"/>
    <mergeCell ref="C109:C110"/>
    <mergeCell ref="F109:F110"/>
    <mergeCell ref="G9:G10"/>
    <mergeCell ref="M9:M10"/>
    <mergeCell ref="B59:B60"/>
    <mergeCell ref="C59:C60"/>
    <mergeCell ref="F59:F60"/>
    <mergeCell ref="G59:G60"/>
    <mergeCell ref="H59:H60"/>
    <mergeCell ref="I59:I60"/>
    <mergeCell ref="J59:J60"/>
    <mergeCell ref="K59:K60"/>
    <mergeCell ref="H9:H10"/>
    <mergeCell ref="I9:I10"/>
    <mergeCell ref="J9:J10"/>
    <mergeCell ref="K9:K10"/>
    <mergeCell ref="L9:L10"/>
    <mergeCell ref="K109:K110"/>
    <mergeCell ref="L109:L110"/>
    <mergeCell ref="M109:M110"/>
    <mergeCell ref="L59:L60"/>
    <mergeCell ref="M59:M60"/>
    <mergeCell ref="G109:G110"/>
    <mergeCell ref="H109:H110"/>
    <mergeCell ref="I109:I110"/>
    <mergeCell ref="J109:J110"/>
    <mergeCell ref="A57:A59"/>
    <mergeCell ref="A107:A10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1"/>
  <dimension ref="A1:AI153"/>
  <sheetViews>
    <sheetView topLeftCell="A94" zoomScaleNormal="100" workbookViewId="0">
      <selection activeCell="V110" sqref="V110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20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13">
        <f>Лист1!F$8</f>
        <v>391.05668821481851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4.0804028407393149</v>
      </c>
      <c r="D11" s="15">
        <f>C11-E11</f>
        <v>1.2785870055886517</v>
      </c>
      <c r="E11" s="32">
        <f>IF(D12 &gt; $D$10,D12/$B11*100,0)</f>
        <v>2.8018158351506632</v>
      </c>
      <c r="F11" s="78">
        <v>109.9</v>
      </c>
      <c r="G11" s="79">
        <v>97.8</v>
      </c>
      <c r="H11" s="79">
        <v>97.8</v>
      </c>
      <c r="I11" s="79">
        <v>85.55670166015625</v>
      </c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391.05670166015625</v>
      </c>
      <c r="X11" s="96">
        <v>32</v>
      </c>
      <c r="Y11" s="96">
        <v>3</v>
      </c>
      <c r="Z11" s="39">
        <v>25.05670166015625</v>
      </c>
      <c r="AA11" s="97">
        <v>29.94329833984375</v>
      </c>
      <c r="AB11" s="135">
        <v>3</v>
      </c>
      <c r="AC11" s="135">
        <v>5</v>
      </c>
      <c r="AD11" s="135">
        <v>1</v>
      </c>
      <c r="AE11" s="135">
        <v>3</v>
      </c>
      <c r="AF11" s="39">
        <v>24.2</v>
      </c>
    </row>
    <row r="12" spans="1:35" ht="16.95" hidden="1" x14ac:dyDescent="0.3">
      <c r="A12" s="58"/>
      <c r="B12" s="118"/>
      <c r="C12" s="19">
        <f>$C$8*
(SIGN($F11)+SIGN($G11)+SIGN($H11)+SIGN($I11)
+SIGN($J11)+SIGN($K11)+SIGN($L11)+SIGN($M11)
+SIGN($N11)+SIGN($O11)+SIGN($P11)+SIGN($Q11)
+SIGN($R11)+SIGN($S11)+SIGN($T11)+SIGN($V10))</f>
        <v>5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10.956688214818541</v>
      </c>
      <c r="E12" s="129">
        <f>B11</f>
        <v>391.05668821481851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95" hidden="1" x14ac:dyDescent="0.3">
      <c r="A13" s="58"/>
      <c r="B13" s="118"/>
      <c r="C13" s="23"/>
      <c r="D13" s="24"/>
      <c r="E13" s="24">
        <f>IF(B11&gt;0,(B11/ROUNDUP(ROUNDUP(((B11-($C$8*ROUNDUP(B11/$H$8,0)))/$C$7),0)/$H$7,0)-$C$8)/$C$7,0-$C$8/$C$7)</f>
        <v>7.9970390127028619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13">
        <f>Лист1!G$8</f>
        <v>418.98930880159122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1.8113371014879749</v>
      </c>
      <c r="D14" s="15">
        <f>C14-E14</f>
        <v>0.95467829750619349</v>
      </c>
      <c r="E14" s="32">
        <f t="shared" ref="E14:E50" si="2">IF(D15 &gt; $D$10,D15/$B14*100,0)</f>
        <v>0.8566588039817814</v>
      </c>
      <c r="F14" s="78">
        <v>109.9</v>
      </c>
      <c r="G14" s="79">
        <v>109.9</v>
      </c>
      <c r="H14" s="79">
        <v>109.9</v>
      </c>
      <c r="I14" s="79">
        <v>89.289318847656205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418.98931884765625</v>
      </c>
      <c r="X14" s="96">
        <v>34</v>
      </c>
      <c r="Y14" s="96">
        <v>3</v>
      </c>
      <c r="Z14" s="39">
        <v>52.98931884765625</v>
      </c>
      <c r="AA14" s="97">
        <v>2.01068115234375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6.95" hidden="1" x14ac:dyDescent="0.3">
      <c r="A15" s="58"/>
      <c r="B15" s="13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3.589308801591244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95" hidden="1" x14ac:dyDescent="0.3">
      <c r="A16" s="58"/>
      <c r="B16" s="13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13">
        <f>Лист1!H$8</f>
        <v>446.92192938836399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2.5333125639770415</v>
      </c>
      <c r="D17" s="15">
        <f>C17-E17</f>
        <v>0.89501090391205684</v>
      </c>
      <c r="E17" s="32">
        <f t="shared" si="2"/>
        <v>1.6383016600649847</v>
      </c>
      <c r="F17" s="78">
        <v>122</v>
      </c>
      <c r="G17" s="79">
        <v>122</v>
      </c>
      <c r="H17" s="79">
        <v>109.9</v>
      </c>
      <c r="I17" s="79">
        <v>93.021936035156273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446.92193603515625</v>
      </c>
      <c r="X17" s="96">
        <v>36</v>
      </c>
      <c r="Y17" s="96">
        <v>3</v>
      </c>
      <c r="Z17" s="39">
        <v>80.92193603515625</v>
      </c>
      <c r="AA17" s="97"/>
      <c r="AB17" s="135"/>
      <c r="AC17" s="135">
        <v>5</v>
      </c>
      <c r="AD17" s="135">
        <v>1</v>
      </c>
      <c r="AE17" s="135">
        <v>1</v>
      </c>
      <c r="AF17" s="39">
        <v>12.1</v>
      </c>
    </row>
    <row r="18" spans="1:32" s="12" customFormat="1" ht="16.95" hidden="1" x14ac:dyDescent="0.3">
      <c r="A18" s="58"/>
      <c r="B18" s="13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7.3219293883640262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13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13">
        <f>Лист1!I$8</f>
        <v>474.85454997513676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3.1703497367614997</v>
      </c>
      <c r="D20" s="15">
        <f>C20-E20</f>
        <v>0.84236320368193596</v>
      </c>
      <c r="E20" s="32">
        <f t="shared" si="2"/>
        <v>2.3279865330795637</v>
      </c>
      <c r="F20" s="78">
        <v>122</v>
      </c>
      <c r="G20" s="79">
        <v>122</v>
      </c>
      <c r="H20" s="79">
        <v>122</v>
      </c>
      <c r="I20" s="79">
        <v>108.85455322265625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474.85455322265625</v>
      </c>
      <c r="X20" s="96">
        <v>39</v>
      </c>
      <c r="Y20" s="96">
        <v>3</v>
      </c>
      <c r="Z20" s="39">
        <v>108.85455322265625</v>
      </c>
      <c r="AA20" s="97"/>
      <c r="AB20" s="135"/>
      <c r="AC20" s="135"/>
      <c r="AD20" s="135"/>
      <c r="AE20" s="135"/>
      <c r="AF20" s="39"/>
    </row>
    <row r="21" spans="1:32" s="12" customFormat="1" ht="16.95" hidden="1" x14ac:dyDescent="0.3">
      <c r="A21" s="58"/>
      <c r="B21" s="119"/>
      <c r="C21" s="19">
        <f>$C$8*
(SIGN($F20)+SIGN($G20)+SIGN($H20)+SIGN($I20)
+SIGN($J20)+SIGN($K20)+SIGN($L20)+SIGN($M20)
+SIGN($N20)+SIGN($O20)+SIGN($P20)+SIGN($Q20)
+SIGN($R20)+SIGN($S20)+SIGN($T20)+SIGN($V20))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11.054549975136752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119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13">
        <f>Лист1!J$8</f>
        <v>502.78717056190948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1.3300201264952727</v>
      </c>
      <c r="D23" s="15">
        <f>C23-E23</f>
        <v>1.3300201264952727</v>
      </c>
      <c r="E23" s="32">
        <f t="shared" si="2"/>
        <v>0</v>
      </c>
      <c r="F23" s="78">
        <v>109.9</v>
      </c>
      <c r="G23" s="79">
        <v>109.9</v>
      </c>
      <c r="H23" s="79">
        <v>97.8</v>
      </c>
      <c r="I23" s="79">
        <v>97.8</v>
      </c>
      <c r="J23" s="79">
        <v>87.387170410156216</v>
      </c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502.78717041015625</v>
      </c>
      <c r="X23" s="96">
        <v>41</v>
      </c>
      <c r="Y23" s="96">
        <v>4</v>
      </c>
      <c r="Z23" s="39">
        <v>14.78717041015625</v>
      </c>
      <c r="AA23" s="141">
        <v>40.21282958984375</v>
      </c>
      <c r="AB23" s="135">
        <v>4</v>
      </c>
      <c r="AC23" s="135">
        <v>5</v>
      </c>
      <c r="AD23" s="135">
        <v>2</v>
      </c>
      <c r="AE23" s="135">
        <v>4</v>
      </c>
      <c r="AF23" s="39">
        <v>24.2</v>
      </c>
    </row>
    <row r="24" spans="1:32" s="12" customFormat="1" ht="16.95" hidden="1" x14ac:dyDescent="0.3">
      <c r="A24" s="59"/>
      <c r="B24" s="18"/>
      <c r="C24" s="19">
        <f>$C$8*
(SIGN($F23)+SIGN($G23)+SIGN($H23)+SIGN($I23)
+SIGN($J23)+SIGN($K23)+SIGN($L23)+SIGN($M23)
+SIGN($N23)+SIGN($O23)+SIGN($P23)+SIGN($Q23)
+SIGN($R23)+SIGN($S23)+SIGN($T23)+SIGN($V23))</f>
        <v>5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1.687170561909511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13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13">
        <f>Лист1!K$8</f>
        <v>530.71979114868225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1.9633319356962073</v>
      </c>
      <c r="D26" s="15">
        <f>C26-E26</f>
        <v>0.94211674096005926</v>
      </c>
      <c r="E26" s="32">
        <f t="shared" si="2"/>
        <v>1.0212151947361481</v>
      </c>
      <c r="F26" s="78">
        <v>109.9</v>
      </c>
      <c r="G26" s="79">
        <v>109.9</v>
      </c>
      <c r="H26" s="79">
        <v>109.9</v>
      </c>
      <c r="I26" s="79">
        <v>109.9</v>
      </c>
      <c r="J26" s="79">
        <v>91.119787597656227</v>
      </c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530.71978759765625</v>
      </c>
      <c r="X26" s="96">
        <v>43</v>
      </c>
      <c r="Y26" s="96">
        <v>4</v>
      </c>
      <c r="Z26" s="39">
        <v>42.71978759765625</v>
      </c>
      <c r="AA26" s="141">
        <v>12.28021240234375</v>
      </c>
      <c r="AB26" s="135">
        <v>2</v>
      </c>
      <c r="AC26" s="135">
        <v>5</v>
      </c>
      <c r="AD26" s="135">
        <v>1</v>
      </c>
      <c r="AE26" s="135">
        <v>4</v>
      </c>
      <c r="AF26" s="39">
        <v>24.2</v>
      </c>
    </row>
    <row r="27" spans="1:32" s="12" customFormat="1" ht="16.95" hidden="1" x14ac:dyDescent="0.3">
      <c r="A27" s="59"/>
      <c r="B27" s="13"/>
      <c r="C27" s="19">
        <f>$C$8*
(SIGN($F26)+SIGN($G26)+SIGN($H26)+SIGN($I26)
+SIGN($J26)+SIGN($K26)+SIGN($L26)+SIGN($M26)
+SIGN($N26)+SIGN($O26)+SIGN($P26)+SIGN($Q26)
+SIGN($R26)+SIGN($S26)+SIGN($T26)+SIGN($V26))</f>
        <v>5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5.4197911486822932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13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13">
        <f>Лист1!L$8</f>
        <v>558.65241173545496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2.5333125639770286</v>
      </c>
      <c r="D29" s="15">
        <f>C29-E29</f>
        <v>0.89501090391205662</v>
      </c>
      <c r="E29" s="32">
        <f t="shared" si="2"/>
        <v>1.638301660064972</v>
      </c>
      <c r="F29" s="78">
        <v>122</v>
      </c>
      <c r="G29" s="79">
        <v>122</v>
      </c>
      <c r="H29" s="79">
        <v>109.9</v>
      </c>
      <c r="I29" s="79">
        <v>109.9</v>
      </c>
      <c r="J29" s="79">
        <v>94.852404785156295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558.65240478515625</v>
      </c>
      <c r="X29" s="140">
        <v>46</v>
      </c>
      <c r="Y29" s="140">
        <v>4</v>
      </c>
      <c r="Z29" s="39">
        <v>70.65240478515625</v>
      </c>
      <c r="AA29" s="39"/>
      <c r="AB29" s="135"/>
      <c r="AC29" s="135">
        <v>5</v>
      </c>
      <c r="AD29" s="135">
        <v>1</v>
      </c>
      <c r="AE29" s="135">
        <v>2</v>
      </c>
      <c r="AF29" s="39">
        <v>24.2</v>
      </c>
    </row>
    <row r="30" spans="1:32" s="12" customFormat="1" ht="18.899999999999999" hidden="1" x14ac:dyDescent="0.35">
      <c r="A30" s="60"/>
      <c r="B30" s="13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9.1524117354549617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13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13">
        <f>Лист1!M$8</f>
        <v>586.58503232222779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0.98622228721478056</v>
      </c>
      <c r="D32" s="15">
        <f>C32-E32</f>
        <v>0.98622228721478056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98.58502197265625</v>
      </c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586.58502197265625</v>
      </c>
      <c r="X32" s="96">
        <v>48</v>
      </c>
      <c r="Y32" s="96">
        <v>4</v>
      </c>
      <c r="Z32" s="39">
        <v>98.58502197265625</v>
      </c>
      <c r="AA32" s="39"/>
      <c r="AB32" s="135"/>
      <c r="AC32" s="135"/>
      <c r="AD32" s="135"/>
      <c r="AE32" s="135"/>
      <c r="AF32" s="39"/>
    </row>
    <row r="33" spans="1:32" s="12" customFormat="1" ht="18.899999999999999" hidden="1" x14ac:dyDescent="0.35">
      <c r="A33" s="60"/>
      <c r="B33" s="13"/>
      <c r="C33" s="19">
        <f>$C$8*
(SIGN($F32)+SIGN($G32)+SIGN($H32)+SIGN($I32)
+SIGN($J32)+SIGN($K32)+SIGN($L32)+SIGN($M32)
+SIGN($N32)+SIGN($O32)+SIGN($P32)+SIGN($Q32)
+SIGN($R32)+SIGN($S32)+SIGN($T32)+SIGN($V32))</f>
        <v>5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0.78503232222783481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13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13">
        <f>Лист1!N$8</f>
        <v>614.5176529090005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1.5488005696737739</v>
      </c>
      <c r="D35" s="15">
        <f>C35-E35</f>
        <v>0.97637553154042556</v>
      </c>
      <c r="E35" s="32">
        <f t="shared" si="2"/>
        <v>0.57242503813334833</v>
      </c>
      <c r="F35" s="78">
        <v>109.9</v>
      </c>
      <c r="G35" s="79">
        <v>109.9</v>
      </c>
      <c r="H35" s="79">
        <v>109.9</v>
      </c>
      <c r="I35" s="79">
        <v>97.8</v>
      </c>
      <c r="J35" s="79">
        <v>97.8</v>
      </c>
      <c r="K35" s="79">
        <v>89.217639160156182</v>
      </c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614.51763916015625</v>
      </c>
      <c r="X35" s="96">
        <v>50</v>
      </c>
      <c r="Y35" s="96">
        <v>5</v>
      </c>
      <c r="Z35" s="39">
        <v>4.51763916015625</v>
      </c>
      <c r="AA35" s="39">
        <v>50.48236083984375</v>
      </c>
      <c r="AB35" s="135">
        <v>5</v>
      </c>
      <c r="AC35" s="135">
        <v>5</v>
      </c>
      <c r="AD35" s="135">
        <v>2</v>
      </c>
      <c r="AE35" s="135">
        <v>5</v>
      </c>
      <c r="AF35" s="39">
        <v>24.2</v>
      </c>
    </row>
    <row r="36" spans="1:32" s="12" customFormat="1" ht="18.899999999999999" hidden="1" x14ac:dyDescent="0.35">
      <c r="A36" s="60"/>
      <c r="B36" s="13"/>
      <c r="C36" s="19">
        <f>$C$8*
(SIGN($F35)+SIGN($G35)+SIGN($H35)+SIGN($I35)
+SIGN($J35)+SIGN($K35)+SIGN($L35)+SIGN($M35)
+SIGN($N35)+SIGN($O35)+SIGN($P35)+SIGN($Q35)
+SIGN($R35)+SIGN($S35)+SIGN($T35)+SIGN($V35))</f>
        <v>6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3.5176529090005033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13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13">
        <f>Лист1!O$8</f>
        <v>625.69070114370959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1.3729948564053283</v>
      </c>
      <c r="D38" s="15">
        <f>C38-E38</f>
        <v>1.3729948564053283</v>
      </c>
      <c r="E38" s="32">
        <f t="shared" si="2"/>
        <v>0</v>
      </c>
      <c r="F38" s="78">
        <v>109.9</v>
      </c>
      <c r="G38" s="79">
        <v>109.9</v>
      </c>
      <c r="H38" s="79">
        <v>109.9</v>
      </c>
      <c r="I38" s="79">
        <v>109.9</v>
      </c>
      <c r="J38" s="79">
        <v>97.8</v>
      </c>
      <c r="K38" s="79">
        <v>88.290673828125023</v>
      </c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625.690673828125</v>
      </c>
      <c r="X38" s="135">
        <v>51</v>
      </c>
      <c r="Y38" s="135">
        <v>5</v>
      </c>
      <c r="Z38" s="39">
        <v>15.690673828125</v>
      </c>
      <c r="AA38" s="39">
        <v>39.309326171875</v>
      </c>
      <c r="AB38" s="135">
        <v>4</v>
      </c>
      <c r="AC38" s="135">
        <v>5</v>
      </c>
      <c r="AD38" s="135">
        <v>2</v>
      </c>
      <c r="AE38" s="135">
        <v>5</v>
      </c>
      <c r="AF38" s="39">
        <v>24.2</v>
      </c>
    </row>
    <row r="39" spans="1:32" s="12" customFormat="1" ht="18.899999999999999" hidden="1" x14ac:dyDescent="0.35">
      <c r="A39" s="60"/>
      <c r="B39" s="13"/>
      <c r="C39" s="19">
        <f>$C$8*
(SIGN($F38)+SIGN($G38)+SIGN($H38)+SIGN($I38)
+SIGN($J38)+SIGN($K38)+SIGN($L38)+SIGN($M38)
+SIGN($N38)+SIGN($O38)+SIGN($P38)+SIGN($Q38)
+SIGN($R38)+SIGN($S38)+SIGN($T38)+SIGN($V38))</f>
        <v>6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2.5907011437095662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13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13">
        <f>Лист1!P$8</f>
        <v>636.86374937841867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1.2033577646550913</v>
      </c>
      <c r="D41" s="15">
        <f>C41-E41</f>
        <v>1.2033577646550913</v>
      </c>
      <c r="E41" s="32">
        <f t="shared" si="2"/>
        <v>0</v>
      </c>
      <c r="F41" s="78">
        <v>109.9</v>
      </c>
      <c r="G41" s="79">
        <v>109.9</v>
      </c>
      <c r="H41" s="79">
        <v>109.9</v>
      </c>
      <c r="I41" s="79">
        <v>109.9</v>
      </c>
      <c r="J41" s="79">
        <v>109.9</v>
      </c>
      <c r="K41" s="79">
        <v>87.36376953125</v>
      </c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636.86376953125</v>
      </c>
      <c r="X41" s="135">
        <v>52</v>
      </c>
      <c r="Y41" s="135">
        <v>5</v>
      </c>
      <c r="Z41" s="39">
        <v>26.86376953125</v>
      </c>
      <c r="AA41" s="39">
        <v>28.13623046875</v>
      </c>
      <c r="AB41" s="135">
        <v>3</v>
      </c>
      <c r="AC41" s="135">
        <v>5</v>
      </c>
      <c r="AD41" s="135">
        <v>1</v>
      </c>
      <c r="AE41" s="135">
        <v>5</v>
      </c>
      <c r="AF41" s="39">
        <v>24.2</v>
      </c>
    </row>
    <row r="42" spans="1:32" s="12" customFormat="1" ht="18.899999999999999" hidden="1" x14ac:dyDescent="0.35">
      <c r="A42" s="60"/>
      <c r="B42" s="13"/>
      <c r="C42" s="19">
        <f>$C$8*
(SIGN($F41)+SIGN($G41)+SIGN($H41)+SIGN($I41)
+SIGN($J41)+SIGN($K41)+SIGN($L41)+SIGN($M41)
+SIGN($N41)+SIGN($O41)+SIGN($P41)+SIGN($Q41)
+SIGN($R41)+SIGN($S41)+SIGN($T41)+SIGN($V41))</f>
        <v>6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1.6637493784187427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13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7">
        <f>Лист1!Q$8</f>
        <v>648.03679761312776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1.0395702277927763</v>
      </c>
      <c r="D44" s="15">
        <f>C44-E44</f>
        <v>1.0395702277927763</v>
      </c>
      <c r="E44" s="32">
        <f t="shared" si="2"/>
        <v>0</v>
      </c>
      <c r="F44" s="85">
        <v>122</v>
      </c>
      <c r="G44" s="82">
        <v>109.9</v>
      </c>
      <c r="H44" s="82">
        <v>109.9</v>
      </c>
      <c r="I44" s="82">
        <v>109.9</v>
      </c>
      <c r="J44" s="82">
        <v>109.9</v>
      </c>
      <c r="K44" s="82">
        <v>86.436804199218727</v>
      </c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71"/>
      <c r="W44" s="28">
        <f>SUM(F44:T44)</f>
        <v>648.03680419921875</v>
      </c>
      <c r="X44" s="135">
        <v>53</v>
      </c>
      <c r="Y44" s="135">
        <v>5</v>
      </c>
      <c r="Z44" s="39">
        <v>38.03680419921875</v>
      </c>
      <c r="AA44" s="39">
        <v>16.96319580078125</v>
      </c>
      <c r="AB44" s="135">
        <v>2</v>
      </c>
      <c r="AC44" s="135">
        <v>5</v>
      </c>
      <c r="AD44" s="135">
        <v>1</v>
      </c>
      <c r="AE44" s="135">
        <v>4</v>
      </c>
      <c r="AF44" s="39">
        <v>24.2</v>
      </c>
    </row>
    <row r="45" spans="1:32" s="12" customFormat="1" ht="18.899999999999999" hidden="1" x14ac:dyDescent="0.35">
      <c r="A45" s="60"/>
      <c r="B45" s="27"/>
      <c r="C45" s="19">
        <f>$C$8*
(SIGN($F44)+SIGN($G44)+SIGN($H44)+SIGN($I44)
+SIGN($J44)+SIGN($K44)+SIGN($L44)+SIGN($M44)
+SIGN($N44)+SIGN($O44)+SIGN($P44)+SIGN($Q44)
+SIGN($R44)+SIGN($S44)+SIGN($T44)+SIGN($V44))</f>
        <v>6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0.73679761312780556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7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13">
        <f>Лист1!R$8</f>
        <v>659.20984584783696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2.7168656476607103</v>
      </c>
      <c r="D47" s="15">
        <f>C47-E47</f>
        <v>0.91018058024954906</v>
      </c>
      <c r="E47" s="32">
        <f t="shared" si="2"/>
        <v>1.8066850674111612</v>
      </c>
      <c r="F47" s="78">
        <v>122</v>
      </c>
      <c r="G47" s="79">
        <v>122</v>
      </c>
      <c r="H47" s="79">
        <v>109.9</v>
      </c>
      <c r="I47" s="79">
        <v>109.9</v>
      </c>
      <c r="J47" s="79">
        <v>109.9</v>
      </c>
      <c r="K47" s="79">
        <v>85.509838867187568</v>
      </c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659.2098388671875</v>
      </c>
      <c r="X47" s="135">
        <v>54</v>
      </c>
      <c r="Y47" s="135">
        <v>5</v>
      </c>
      <c r="Z47" s="39">
        <v>49.2098388671875</v>
      </c>
      <c r="AA47" s="39">
        <v>5.7901611328125</v>
      </c>
      <c r="AB47" s="135">
        <v>1</v>
      </c>
      <c r="AC47" s="135">
        <v>5</v>
      </c>
      <c r="AD47" s="135">
        <v>1</v>
      </c>
      <c r="AE47" s="135">
        <v>3</v>
      </c>
      <c r="AF47" s="39">
        <v>24.2</v>
      </c>
    </row>
    <row r="48" spans="1:32" s="12" customFormat="1" ht="18.899999999999999" hidden="1" x14ac:dyDescent="0.35">
      <c r="A48" s="60"/>
      <c r="B48" s="13"/>
      <c r="C48" s="19">
        <f>$C$8*
(SIGN($F47)+SIGN($G47)+SIGN($H47)+SIGN($I47)
+SIGN($J47)+SIGN($K47)+SIGN($L47)+SIGN($M47)
+SIGN($N47)+SIGN($O47)+SIGN($P47)+SIGN($Q47)
+SIGN($R47)+SIGN($S47)+SIGN($T47)+SIGN($V47))</f>
        <v>6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11.909845847837005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13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" x14ac:dyDescent="0.35">
      <c r="A50" s="60">
        <f>Лист1!S$3</f>
        <v>12</v>
      </c>
      <c r="B50" s="13">
        <f>Лист1!S$8</f>
        <v>670.38289408254604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2.5333125639770455</v>
      </c>
      <c r="D50" s="15">
        <f>C50-E50</f>
        <v>0.89501090391205684</v>
      </c>
      <c r="E50" s="32">
        <f t="shared" si="2"/>
        <v>1.6383016600649887</v>
      </c>
      <c r="F50" s="87">
        <v>122</v>
      </c>
      <c r="G50" s="88">
        <v>122</v>
      </c>
      <c r="H50" s="88">
        <v>122</v>
      </c>
      <c r="I50" s="88">
        <v>109.9</v>
      </c>
      <c r="J50" s="88">
        <v>109.9</v>
      </c>
      <c r="K50" s="88">
        <v>84.582873535156295</v>
      </c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670.38287353515625</v>
      </c>
      <c r="X50" s="135">
        <v>55</v>
      </c>
      <c r="Y50" s="135">
        <v>5</v>
      </c>
      <c r="Z50" s="39">
        <v>60.38287353515625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6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10.982894082546068</v>
      </c>
      <c r="E51" s="129">
        <f>B50</f>
        <v>670.38289408254604</v>
      </c>
      <c r="F51" s="20">
        <f>C51-F50</f>
        <v>-116</v>
      </c>
      <c r="G51" s="26">
        <f t="shared" ref="G51:M51" si="3">F51-G50</f>
        <v>-238</v>
      </c>
      <c r="H51" s="26">
        <f t="shared" si="3"/>
        <v>-360</v>
      </c>
      <c r="I51" s="26">
        <f t="shared" si="3"/>
        <v>-469.9</v>
      </c>
      <c r="J51" s="26">
        <f t="shared" si="3"/>
        <v>-579.79999999999995</v>
      </c>
      <c r="K51" s="26">
        <f t="shared" si="3"/>
        <v>-664.38287353515625</v>
      </c>
      <c r="L51" s="26">
        <f t="shared" si="3"/>
        <v>-664.38287353515625</v>
      </c>
      <c r="M51" s="26">
        <f t="shared" si="3"/>
        <v>-664.38287353515625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9.1512795328174388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1.921546052434256</v>
      </c>
      <c r="D53" s="31">
        <f>AVERAGE(D11,D14,D17,D20,D23,D26,D29,D32,D35,D38,D41,D44,D47,D50,)</f>
        <v>0.96809995558841555</v>
      </c>
      <c r="E53" s="31">
        <f>AVERAGE(E11,E14,E17,E20,E23,E26,E29,E32,E35,E38,E41,E44,E47,E50,)</f>
        <v>0.9534460968458407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399999999999999" x14ac:dyDescent="0.35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399999999999999" x14ac:dyDescent="0.35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399999999999999" x14ac:dyDescent="0.35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20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" x14ac:dyDescent="0.35">
      <c r="A61" s="60">
        <f>Лист1!F$3</f>
        <v>7</v>
      </c>
      <c r="B61" s="13">
        <f>Лист1!F$8</f>
        <v>391.05668821481851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4.0804028407393149</v>
      </c>
      <c r="D61" s="15">
        <f>C61-E61</f>
        <v>1.0228696044709213</v>
      </c>
      <c r="E61" s="32">
        <f>IF(D62 &gt; $D$60,D62/$B61*100,0)</f>
        <v>3.0575332362683936</v>
      </c>
      <c r="F61" s="78">
        <v>97.8</v>
      </c>
      <c r="G61" s="79">
        <v>97.8</v>
      </c>
      <c r="H61" s="79">
        <v>97.8</v>
      </c>
      <c r="I61" s="79">
        <v>97.656701660156273</v>
      </c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391.05670166015625</v>
      </c>
      <c r="X61" s="96">
        <v>32</v>
      </c>
      <c r="Y61" s="96">
        <v>3</v>
      </c>
      <c r="Z61" s="39">
        <v>25.05670166015625</v>
      </c>
      <c r="AA61" s="97">
        <v>49.94329833984375</v>
      </c>
      <c r="AB61" s="135">
        <v>5</v>
      </c>
      <c r="AC61" s="135">
        <v>3</v>
      </c>
      <c r="AD61" s="135">
        <v>2</v>
      </c>
      <c r="AE61" s="135">
        <v>3</v>
      </c>
      <c r="AF61" s="39">
        <v>12.1</v>
      </c>
    </row>
    <row r="62" spans="1:35" ht="16.95" hidden="1" x14ac:dyDescent="0.3">
      <c r="A62" s="58"/>
      <c r="B62" s="103"/>
      <c r="C62" s="19">
        <f>$C$58*
(SIGN($F61)+SIGN($G61)+SIGN($H61)+SIGN($I61)
+SIGN($J61)+SIGN($K61)+SIGN($L61)+SIGN($M61)
+SIGN($N61)+SIGN($O61)+SIGN($P61)+SIGN($Q61)
+SIGN($R61)+SIGN($S61)+SIGN($T61)+SIGN($V61))</f>
        <v>4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11.956688214818541</v>
      </c>
      <c r="E62" s="129">
        <f>B61</f>
        <v>391.05668821481851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95" hidden="1" x14ac:dyDescent="0.3">
      <c r="A63" s="58"/>
      <c r="B63" s="103"/>
      <c r="C63" s="22"/>
      <c r="D63" s="22"/>
      <c r="E63" s="22">
        <f>IF(B61&gt;0,(B61/ROUNDUP(ROUNDUP(((B61-($C$58*ROUNDUP(B61/$H$58,0)))/$C$57),0)/$H$57,0)-$C$58)/$C$57,0-$C$58/$C$57)</f>
        <v>7.9970390127028619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" x14ac:dyDescent="0.35">
      <c r="A64" s="60">
        <f>Лист1!G$3</f>
        <v>7.5</v>
      </c>
      <c r="B64" s="13">
        <f>Лист1!G$8</f>
        <v>418.98930880159122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1.8113371014879749</v>
      </c>
      <c r="D64" s="15">
        <f>C64-E64</f>
        <v>0.95467829750619349</v>
      </c>
      <c r="E64" s="32">
        <f t="shared" ref="E64:E100" si="7">IF(D65 &gt; $D$60,D65/$B64*100,0)</f>
        <v>0.8566588039817814</v>
      </c>
      <c r="F64" s="78">
        <v>109.9</v>
      </c>
      <c r="G64" s="79">
        <v>109.9</v>
      </c>
      <c r="H64" s="79">
        <v>97.8</v>
      </c>
      <c r="I64" s="79">
        <v>101.38931884765623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418.98931884765625</v>
      </c>
      <c r="X64" s="96">
        <v>34</v>
      </c>
      <c r="Y64" s="96">
        <v>3</v>
      </c>
      <c r="Z64" s="39">
        <v>52.98931884765625</v>
      </c>
      <c r="AA64" s="97">
        <v>22.01068115234375</v>
      </c>
      <c r="AB64" s="135">
        <v>2</v>
      </c>
      <c r="AC64" s="135">
        <v>3</v>
      </c>
      <c r="AD64" s="135">
        <v>2</v>
      </c>
      <c r="AE64" s="135">
        <v>3</v>
      </c>
      <c r="AF64" s="39">
        <v>24.2</v>
      </c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3.589308801591244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" x14ac:dyDescent="0.35">
      <c r="A67" s="60">
        <f>Лист1!H$3</f>
        <v>8</v>
      </c>
      <c r="B67" s="13">
        <f>Лист1!H$8</f>
        <v>446.92192938836399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2.5333125639770415</v>
      </c>
      <c r="D67" s="15">
        <f>C67-E67</f>
        <v>0.89501090391205684</v>
      </c>
      <c r="E67" s="32">
        <f t="shared" si="7"/>
        <v>1.6383016600649847</v>
      </c>
      <c r="F67" s="78">
        <v>122</v>
      </c>
      <c r="G67" s="79">
        <v>109.9</v>
      </c>
      <c r="H67" s="79">
        <v>109.9</v>
      </c>
      <c r="I67" s="79">
        <v>105.12193603515624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446.92193603515625</v>
      </c>
      <c r="X67" s="96">
        <v>36</v>
      </c>
      <c r="Y67" s="96">
        <v>3</v>
      </c>
      <c r="Z67" s="39">
        <v>80.92193603515625</v>
      </c>
      <c r="AA67" s="97"/>
      <c r="AB67" s="135"/>
      <c r="AC67" s="135">
        <v>3</v>
      </c>
      <c r="AD67" s="135">
        <v>1</v>
      </c>
      <c r="AE67" s="135">
        <v>2</v>
      </c>
      <c r="AF67" s="39">
        <v>24.2</v>
      </c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7.3219293883640262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" x14ac:dyDescent="0.35">
      <c r="A70" s="60">
        <f>Лист1!I$3</f>
        <v>8.5</v>
      </c>
      <c r="B70" s="13">
        <f>Лист1!I$8</f>
        <v>474.85454997513676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3.1703497367614997</v>
      </c>
      <c r="D70" s="15">
        <f>C70-E70</f>
        <v>0.84236320368193596</v>
      </c>
      <c r="E70" s="32">
        <f t="shared" si="7"/>
        <v>2.3279865330795637</v>
      </c>
      <c r="F70" s="78">
        <v>122</v>
      </c>
      <c r="G70" s="79">
        <v>122</v>
      </c>
      <c r="H70" s="79">
        <v>122</v>
      </c>
      <c r="I70" s="79">
        <v>108.85455322265625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474.85455322265625</v>
      </c>
      <c r="X70" s="96">
        <v>39</v>
      </c>
      <c r="Y70" s="96">
        <v>3</v>
      </c>
      <c r="Z70" s="39">
        <v>108.85455322265625</v>
      </c>
      <c r="AA70" s="97"/>
      <c r="AB70" s="135"/>
      <c r="AC70" s="135"/>
      <c r="AD70" s="135"/>
      <c r="AE70" s="135"/>
      <c r="AF70" s="39"/>
    </row>
    <row r="71" spans="1:32" s="12" customFormat="1" ht="16.95" hidden="1" x14ac:dyDescent="0.3">
      <c r="A71" s="58"/>
      <c r="B71" s="105"/>
      <c r="C71" s="19">
        <f>$C$58*
(SIGN($F70)+SIGN($G70)+SIGN($H70)+SIGN($I70)
+SIGN($J70)+SIGN($K70)+SIGN($L70)+SIGN($M70)
+SIGN($N70)+SIGN($O70)+SIGN($P70)+SIGN($Q70)
+SIGN($R70)+SIGN($S70)+SIGN($T70)+SIGN($V70))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11.054549975136752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105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" x14ac:dyDescent="0.35">
      <c r="A73" s="60">
        <f>Лист1!J$3</f>
        <v>9</v>
      </c>
      <c r="B73" s="13">
        <f>Лист1!J$8</f>
        <v>502.78717056190948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1.3300201264952727</v>
      </c>
      <c r="D73" s="15">
        <f>C73-E73</f>
        <v>1.3300201264952727</v>
      </c>
      <c r="E73" s="32">
        <f t="shared" si="7"/>
        <v>0</v>
      </c>
      <c r="F73" s="78">
        <v>109.9</v>
      </c>
      <c r="G73" s="79">
        <v>97.8</v>
      </c>
      <c r="H73" s="79">
        <v>97.8</v>
      </c>
      <c r="I73" s="79">
        <v>97.8</v>
      </c>
      <c r="J73" s="79">
        <v>99.487170410156239</v>
      </c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502.78717041015625</v>
      </c>
      <c r="X73" s="135">
        <v>41</v>
      </c>
      <c r="Y73" s="135">
        <v>4</v>
      </c>
      <c r="Z73" s="39">
        <v>14.78717041015625</v>
      </c>
      <c r="AA73" s="141">
        <v>60.21282958984375</v>
      </c>
      <c r="AB73" s="135">
        <v>5</v>
      </c>
      <c r="AC73" s="135">
        <v>3</v>
      </c>
      <c r="AD73" s="135">
        <v>3</v>
      </c>
      <c r="AE73" s="135">
        <v>4</v>
      </c>
      <c r="AF73" s="39">
        <v>24.2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5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1.687170561909511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" x14ac:dyDescent="0.35">
      <c r="A76" s="60">
        <f>Лист1!K$3</f>
        <v>9.5</v>
      </c>
      <c r="B76" s="13">
        <f>Лист1!K$8</f>
        <v>530.71979114868225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1.9633319356962073</v>
      </c>
      <c r="D76" s="15">
        <f>C76-E76</f>
        <v>0.94211674096005926</v>
      </c>
      <c r="E76" s="32">
        <f t="shared" si="7"/>
        <v>1.0212151947361481</v>
      </c>
      <c r="F76" s="78">
        <v>109.9</v>
      </c>
      <c r="G76" s="79">
        <v>109.9</v>
      </c>
      <c r="H76" s="79">
        <v>109.9</v>
      </c>
      <c r="I76" s="79">
        <v>97.8</v>
      </c>
      <c r="J76" s="79">
        <v>103.21978759765619</v>
      </c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530.71978759765625</v>
      </c>
      <c r="X76" s="135">
        <v>43</v>
      </c>
      <c r="Y76" s="135">
        <v>4</v>
      </c>
      <c r="Z76" s="39">
        <v>42.71978759765625</v>
      </c>
      <c r="AA76" s="39">
        <v>32.28021240234375</v>
      </c>
      <c r="AB76" s="135">
        <v>3</v>
      </c>
      <c r="AC76" s="135">
        <v>3</v>
      </c>
      <c r="AD76" s="135">
        <v>2</v>
      </c>
      <c r="AE76" s="135">
        <v>4</v>
      </c>
      <c r="AF76" s="39">
        <v>24.2</v>
      </c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5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5.4197911486822932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" x14ac:dyDescent="0.35">
      <c r="A79" s="60">
        <f>Лист1!L$3</f>
        <v>10</v>
      </c>
      <c r="B79" s="13">
        <f>Лист1!L$8</f>
        <v>558.65241173545496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2.5333125639770286</v>
      </c>
      <c r="D79" s="15">
        <f>C79-E79</f>
        <v>0.89501090391205662</v>
      </c>
      <c r="E79" s="32">
        <f t="shared" si="7"/>
        <v>1.638301660064972</v>
      </c>
      <c r="F79" s="78">
        <v>122</v>
      </c>
      <c r="G79" s="79">
        <v>122</v>
      </c>
      <c r="H79" s="79">
        <v>109.9</v>
      </c>
      <c r="I79" s="79">
        <v>109.9</v>
      </c>
      <c r="J79" s="79">
        <v>94.852404785156295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558.65240478515625</v>
      </c>
      <c r="X79" s="135">
        <v>46</v>
      </c>
      <c r="Y79" s="135">
        <v>4</v>
      </c>
      <c r="Z79" s="39">
        <v>70.65240478515625</v>
      </c>
      <c r="AA79" s="39">
        <v>4.34759521484375</v>
      </c>
      <c r="AB79" s="135">
        <v>1</v>
      </c>
      <c r="AC79" s="135">
        <v>3</v>
      </c>
      <c r="AD79" s="135">
        <v>1</v>
      </c>
      <c r="AE79" s="135">
        <v>2</v>
      </c>
      <c r="AF79" s="39">
        <v>12.1</v>
      </c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9.1524117354549617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" x14ac:dyDescent="0.35">
      <c r="A82" s="60">
        <f>Лист1!M$3</f>
        <v>10.5</v>
      </c>
      <c r="B82" s="13">
        <f>Лист1!M$8</f>
        <v>586.58503232222779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0.98622228721478056</v>
      </c>
      <c r="D82" s="15">
        <f>C82-E82</f>
        <v>0.98622228721478056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98.58502197265625</v>
      </c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586.58502197265625</v>
      </c>
      <c r="X82" s="135">
        <v>48</v>
      </c>
      <c r="Y82" s="135">
        <v>4</v>
      </c>
      <c r="Z82" s="39">
        <v>98.58502197265625</v>
      </c>
      <c r="AA82" s="39"/>
      <c r="AB82" s="135"/>
      <c r="AC82" s="135"/>
      <c r="AD82" s="135"/>
      <c r="AE82" s="135"/>
      <c r="AF82" s="39"/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5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0.78503232222783481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" x14ac:dyDescent="0.35">
      <c r="A85" s="60">
        <f>Лист1!N$3</f>
        <v>11</v>
      </c>
      <c r="B85" s="13">
        <f>Лист1!N$8</f>
        <v>614.5176529090005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1.5488005696737739</v>
      </c>
      <c r="D85" s="15">
        <f>C85-E85</f>
        <v>0.97637553154042556</v>
      </c>
      <c r="E85" s="32">
        <f t="shared" si="7"/>
        <v>0.57242503813334833</v>
      </c>
      <c r="F85" s="78">
        <v>109.9</v>
      </c>
      <c r="G85" s="79">
        <v>109.9</v>
      </c>
      <c r="H85" s="79">
        <v>97.8</v>
      </c>
      <c r="I85" s="79">
        <v>97.8</v>
      </c>
      <c r="J85" s="79">
        <v>97.8</v>
      </c>
      <c r="K85" s="79">
        <v>101.3176391601562</v>
      </c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614.51763916015625</v>
      </c>
      <c r="X85" s="135">
        <v>50</v>
      </c>
      <c r="Y85" s="135">
        <v>5</v>
      </c>
      <c r="Z85" s="39">
        <v>4.51763916015625</v>
      </c>
      <c r="AA85" s="39">
        <v>70.48236083984375</v>
      </c>
      <c r="AB85" s="135">
        <v>6</v>
      </c>
      <c r="AC85" s="135">
        <v>3</v>
      </c>
      <c r="AD85" s="135">
        <v>3</v>
      </c>
      <c r="AE85" s="135">
        <v>5</v>
      </c>
      <c r="AF85" s="39">
        <v>24.2</v>
      </c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6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3.5176529090005033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" x14ac:dyDescent="0.35">
      <c r="A88" s="60">
        <f>Лист1!O$3</f>
        <v>11.2</v>
      </c>
      <c r="B88" s="13">
        <f>Лист1!O$8</f>
        <v>625.69070114370959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1.3729948564053283</v>
      </c>
      <c r="D88" s="15">
        <f>C88-E88</f>
        <v>1.3729948564053283</v>
      </c>
      <c r="E88" s="32">
        <f t="shared" si="7"/>
        <v>0</v>
      </c>
      <c r="F88" s="78">
        <v>109.9</v>
      </c>
      <c r="G88" s="79">
        <v>109.9</v>
      </c>
      <c r="H88" s="79">
        <v>109.9</v>
      </c>
      <c r="I88" s="79">
        <v>97.8</v>
      </c>
      <c r="J88" s="79">
        <v>97.8</v>
      </c>
      <c r="K88" s="79">
        <v>100.39067382812493</v>
      </c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625.690673828125</v>
      </c>
      <c r="X88" s="135">
        <v>51</v>
      </c>
      <c r="Y88" s="135">
        <v>5</v>
      </c>
      <c r="Z88" s="39">
        <v>15.690673828125</v>
      </c>
      <c r="AA88" s="39">
        <v>59.309326171875</v>
      </c>
      <c r="AB88" s="135">
        <v>5</v>
      </c>
      <c r="AC88" s="135">
        <v>3</v>
      </c>
      <c r="AD88" s="135">
        <v>3</v>
      </c>
      <c r="AE88" s="135">
        <v>5</v>
      </c>
      <c r="AF88" s="39">
        <v>24.2</v>
      </c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6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2.5907011437095662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" x14ac:dyDescent="0.35">
      <c r="A91" s="60">
        <f>Лист1!P$3</f>
        <v>11.4</v>
      </c>
      <c r="B91" s="13">
        <f>Лист1!P$8</f>
        <v>636.86374937841867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1.2033577646550913</v>
      </c>
      <c r="D91" s="15">
        <f>C91-E91</f>
        <v>1.2033577646550913</v>
      </c>
      <c r="E91" s="32">
        <f t="shared" si="7"/>
        <v>0</v>
      </c>
      <c r="F91" s="78">
        <v>109.9</v>
      </c>
      <c r="G91" s="79">
        <v>109.9</v>
      </c>
      <c r="H91" s="79">
        <v>109.9</v>
      </c>
      <c r="I91" s="79">
        <v>109.9</v>
      </c>
      <c r="J91" s="79">
        <v>97.8</v>
      </c>
      <c r="K91" s="79">
        <v>99.463769531250023</v>
      </c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636.86376953125</v>
      </c>
      <c r="X91" s="135">
        <v>52</v>
      </c>
      <c r="Y91" s="135">
        <v>5</v>
      </c>
      <c r="Z91" s="39">
        <v>26.86376953125</v>
      </c>
      <c r="AA91" s="39">
        <v>48.13623046875</v>
      </c>
      <c r="AB91" s="135">
        <v>4</v>
      </c>
      <c r="AC91" s="135">
        <v>3</v>
      </c>
      <c r="AD91" s="135">
        <v>2</v>
      </c>
      <c r="AE91" s="135">
        <v>5</v>
      </c>
      <c r="AF91" s="39">
        <v>24.2</v>
      </c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6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1.6637493784187427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" x14ac:dyDescent="0.35">
      <c r="A94" s="60">
        <f>Лист1!Q$3</f>
        <v>11.6</v>
      </c>
      <c r="B94" s="27">
        <f>Лист1!Q$8</f>
        <v>648.03679761312776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1.0395702277927763</v>
      </c>
      <c r="D94" s="15">
        <f>C94-E94</f>
        <v>1.0395702277927763</v>
      </c>
      <c r="E94" s="32">
        <f t="shared" si="7"/>
        <v>0</v>
      </c>
      <c r="F94" s="85">
        <v>109.9</v>
      </c>
      <c r="G94" s="82">
        <v>109.9</v>
      </c>
      <c r="H94" s="82">
        <v>109.9</v>
      </c>
      <c r="I94" s="82">
        <v>109.9</v>
      </c>
      <c r="J94" s="82">
        <v>109.9</v>
      </c>
      <c r="K94" s="82">
        <v>98.53680419921875</v>
      </c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71"/>
      <c r="W94" s="28">
        <f>SUM(F94:T94)</f>
        <v>648.03680419921875</v>
      </c>
      <c r="X94" s="135">
        <v>53</v>
      </c>
      <c r="Y94" s="135">
        <v>5</v>
      </c>
      <c r="Z94" s="39">
        <v>38.03680419921875</v>
      </c>
      <c r="AA94" s="39">
        <v>36.96319580078125</v>
      </c>
      <c r="AB94" s="135">
        <v>4</v>
      </c>
      <c r="AC94" s="135">
        <v>3</v>
      </c>
      <c r="AD94" s="135">
        <v>2</v>
      </c>
      <c r="AE94" s="135">
        <v>5</v>
      </c>
      <c r="AF94" s="39">
        <v>12.1</v>
      </c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6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0.73679761312780556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" x14ac:dyDescent="0.35">
      <c r="A97" s="60">
        <f>Лист1!R$3</f>
        <v>11.8</v>
      </c>
      <c r="B97" s="13">
        <f>Лист1!R$8</f>
        <v>659.20984584783696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2.7168656476607103</v>
      </c>
      <c r="D97" s="15">
        <f>C97-E97</f>
        <v>0.91018058024954906</v>
      </c>
      <c r="E97" s="32">
        <f t="shared" si="7"/>
        <v>1.8066850674111612</v>
      </c>
      <c r="F97" s="78">
        <v>122</v>
      </c>
      <c r="G97" s="79">
        <v>109.9</v>
      </c>
      <c r="H97" s="79">
        <v>109.9</v>
      </c>
      <c r="I97" s="79">
        <v>109.9</v>
      </c>
      <c r="J97" s="79">
        <v>109.9</v>
      </c>
      <c r="K97" s="79">
        <v>97.609838867187477</v>
      </c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659.2098388671875</v>
      </c>
      <c r="X97" s="135">
        <v>54</v>
      </c>
      <c r="Y97" s="135">
        <v>5</v>
      </c>
      <c r="Z97" s="39">
        <v>49.2098388671875</v>
      </c>
      <c r="AA97" s="39">
        <v>25.7901611328125</v>
      </c>
      <c r="AB97" s="135">
        <v>3</v>
      </c>
      <c r="AC97" s="135">
        <v>3</v>
      </c>
      <c r="AD97" s="135">
        <v>2</v>
      </c>
      <c r="AE97" s="135">
        <v>4</v>
      </c>
      <c r="AF97" s="39">
        <v>12.1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6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11.909845847837005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" x14ac:dyDescent="0.35">
      <c r="A100" s="60">
        <f>Лист1!S$3</f>
        <v>12</v>
      </c>
      <c r="B100" s="13">
        <f>Лист1!S$8</f>
        <v>670.38289408254604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2.5333125639770455</v>
      </c>
      <c r="D100" s="15">
        <f>C100-E100</f>
        <v>0.89501090391205684</v>
      </c>
      <c r="E100" s="32">
        <f t="shared" si="7"/>
        <v>1.6383016600649887</v>
      </c>
      <c r="F100" s="88">
        <v>122</v>
      </c>
      <c r="G100" s="88">
        <v>122</v>
      </c>
      <c r="H100" s="88">
        <v>109.9</v>
      </c>
      <c r="I100" s="88">
        <v>109.9</v>
      </c>
      <c r="J100" s="88">
        <v>109.9</v>
      </c>
      <c r="K100" s="88">
        <v>96.682873535156318</v>
      </c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670.38287353515625</v>
      </c>
      <c r="X100" s="135">
        <v>55</v>
      </c>
      <c r="Y100" s="135">
        <v>5</v>
      </c>
      <c r="Z100" s="39">
        <v>60.38287353515625</v>
      </c>
      <c r="AA100" s="141">
        <v>14.61712646484375</v>
      </c>
      <c r="AB100" s="135">
        <v>2</v>
      </c>
      <c r="AC100" s="135">
        <v>3</v>
      </c>
      <c r="AD100" s="135">
        <v>1</v>
      </c>
      <c r="AE100" s="135">
        <v>3</v>
      </c>
      <c r="AF100" s="39">
        <v>12.1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6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10.982894082546068</v>
      </c>
      <c r="E101" s="129">
        <f>B100</f>
        <v>670.38289408254604</v>
      </c>
      <c r="F101" s="20">
        <f>C101-F100</f>
        <v>-116</v>
      </c>
      <c r="G101" s="26">
        <f t="shared" ref="G101:M101" si="8">F101-G100</f>
        <v>-238</v>
      </c>
      <c r="H101" s="26">
        <f t="shared" si="8"/>
        <v>-347.9</v>
      </c>
      <c r="I101" s="26">
        <f t="shared" si="8"/>
        <v>-457.79999999999995</v>
      </c>
      <c r="J101" s="26">
        <f t="shared" si="8"/>
        <v>-567.69999999999993</v>
      </c>
      <c r="K101" s="26">
        <f t="shared" si="8"/>
        <v>-664.38287353515625</v>
      </c>
      <c r="L101" s="26">
        <f t="shared" si="8"/>
        <v>-664.38287353515625</v>
      </c>
      <c r="M101" s="26">
        <f t="shared" si="8"/>
        <v>-664.38287353515625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9.1512795328174388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1.921546052434256</v>
      </c>
      <c r="D103" s="31">
        <f>AVERAGE(D61,D64,D67,D70,D73,D76,D79,D82,D85,D88,D91,D94,D97,D100,)</f>
        <v>0.95105212884723367</v>
      </c>
      <c r="E103" s="31">
        <f>AVERAGE(E61,E64,E67,E70,E73,E76,E79,E82,E85,E88,E91,E94,E97,E100,)</f>
        <v>0.9704939235870228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399999999999999" x14ac:dyDescent="0.35">
      <c r="B104" s="30"/>
      <c r="C104" s="31"/>
      <c r="D104" s="31"/>
      <c r="E104" s="31"/>
      <c r="V104" s="38"/>
      <c r="W104" s="40"/>
    </row>
    <row r="105" spans="1:35" ht="17.399999999999999" x14ac:dyDescent="0.35">
      <c r="B105" s="30"/>
      <c r="C105" s="31"/>
      <c r="D105" s="31"/>
      <c r="E105" s="31"/>
      <c r="V105" s="38"/>
      <c r="W105" s="40"/>
    </row>
    <row r="106" spans="1:35" ht="17.399999999999999" x14ac:dyDescent="0.35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20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" x14ac:dyDescent="0.35">
      <c r="A111" s="60">
        <f>Лист1!F$3</f>
        <v>7</v>
      </c>
      <c r="B111" s="13">
        <f>Лист1!F$8</f>
        <v>391.05668821481851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13.362944501312917</v>
      </c>
      <c r="D111" s="15">
        <f>C111-E111</f>
        <v>1.0228696044709196</v>
      </c>
      <c r="E111" s="32">
        <f>IF(D112 &gt; $D$110,D112/$B111*100,0)</f>
        <v>12.340074896841998</v>
      </c>
      <c r="F111" s="120">
        <v>97.764175415039063</v>
      </c>
      <c r="G111" s="121">
        <v>97.764175415039063</v>
      </c>
      <c r="H111" s="121">
        <v>97.764175415039063</v>
      </c>
      <c r="I111" s="121">
        <v>97.764175415039063</v>
      </c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391.05670166015625</v>
      </c>
      <c r="X111" s="96">
        <v>32</v>
      </c>
      <c r="Y111" s="96">
        <v>3</v>
      </c>
      <c r="Z111" s="39">
        <v>25.05670166015625</v>
      </c>
      <c r="AA111" s="97">
        <v>69.94329833984375</v>
      </c>
      <c r="AB111" s="135">
        <v>6</v>
      </c>
      <c r="AC111" s="135">
        <v>2</v>
      </c>
      <c r="AD111" s="135">
        <v>4</v>
      </c>
      <c r="AE111" s="135">
        <v>3</v>
      </c>
      <c r="AF111" s="39">
        <v>12.1</v>
      </c>
    </row>
    <row r="112" spans="1:35" ht="16.95" hidden="1" x14ac:dyDescent="0.3">
      <c r="A112" s="58"/>
      <c r="B112" s="118"/>
      <c r="C112" s="19">
        <f>$C$58*
(SIGN($F111)+SIGN($G111)+SIGN($H111)+SIGN($I111)
+SIGN($J111)+SIGN($K111)+SIGN($L111)+SIGN($M111)
+SIGN($N111)+SIGN($O111)+SIGN($P111)+SIGN($Q111)
+SIGN($R111)+SIGN($S111)+SIGN($T111)+SIGN($U111))</f>
        <v>4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48.256688214818496</v>
      </c>
      <c r="E112" s="129">
        <f>B111</f>
        <v>391.05668821481851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95" hidden="1" x14ac:dyDescent="0.3">
      <c r="A113" s="58"/>
      <c r="B113" s="118"/>
      <c r="C113" s="22"/>
      <c r="D113" s="22"/>
      <c r="E113" s="22">
        <f>IF(B111&gt;0,(B111/ROUNDUP(ROUNDUP(((B111-($C$108*ROUNDUP(B111/$H$108,0)))/$C$107),0)/$H$107,0)-$C$108)/$C$107,0-$C$108/$C$107)</f>
        <v>7.9970390127028619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" x14ac:dyDescent="0.35">
      <c r="A114" s="60">
        <f>Лист1!G$3</f>
        <v>7.5</v>
      </c>
      <c r="B114" s="13">
        <f>Лист1!G$8</f>
        <v>418.98930880159122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1.8113371014879749</v>
      </c>
      <c r="D114" s="15">
        <f>C114-E114</f>
        <v>0.95467829750619349</v>
      </c>
      <c r="E114" s="32">
        <f>IF(D115 &gt; $D$110,D115/$B114*100,0)</f>
        <v>0.8566588039817814</v>
      </c>
      <c r="F114" s="120">
        <v>109.9</v>
      </c>
      <c r="G114" s="121">
        <v>97.8</v>
      </c>
      <c r="H114" s="121">
        <v>97.8</v>
      </c>
      <c r="I114" s="121">
        <v>113.48931884765625</v>
      </c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418.98931884765625</v>
      </c>
      <c r="X114" s="96">
        <v>34</v>
      </c>
      <c r="Y114" s="96">
        <v>3</v>
      </c>
      <c r="Z114" s="39">
        <v>52.98931884765625</v>
      </c>
      <c r="AA114" s="97">
        <v>42.01068115234375</v>
      </c>
      <c r="AB114" s="135">
        <v>4</v>
      </c>
      <c r="AC114" s="135">
        <v>2</v>
      </c>
      <c r="AD114" s="135">
        <v>3</v>
      </c>
      <c r="AE114" s="135">
        <v>3</v>
      </c>
      <c r="AF114" s="39">
        <v>12.1</v>
      </c>
    </row>
    <row r="115" spans="1:32" s="12" customFormat="1" ht="16.95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4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3.589308801591244</v>
      </c>
      <c r="E115" s="129">
        <f>B114</f>
        <v>418.98930880159122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8.5741592727601503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" x14ac:dyDescent="0.35">
      <c r="A117" s="60">
        <f>Лист1!H$3</f>
        <v>8</v>
      </c>
      <c r="B117" s="13">
        <f>Лист1!H$8</f>
        <v>446.92192938836399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2.5333125639770415</v>
      </c>
      <c r="D117" s="15">
        <f>C117-E117</f>
        <v>0.89501090391205684</v>
      </c>
      <c r="E117" s="32">
        <f>IF(D118 &gt; $D$110,D118/$B117*100,0)</f>
        <v>1.6383016600649847</v>
      </c>
      <c r="F117" s="120">
        <v>122</v>
      </c>
      <c r="G117" s="121">
        <v>109.9</v>
      </c>
      <c r="H117" s="121">
        <v>109.9</v>
      </c>
      <c r="I117" s="121">
        <v>105.12193603515624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446.92193603515625</v>
      </c>
      <c r="X117" s="96">
        <v>36</v>
      </c>
      <c r="Y117" s="96">
        <v>3</v>
      </c>
      <c r="Z117" s="39">
        <v>80.92193603515625</v>
      </c>
      <c r="AA117" s="97">
        <v>14.07806396484375</v>
      </c>
      <c r="AB117" s="135">
        <v>2</v>
      </c>
      <c r="AC117" s="135">
        <v>2</v>
      </c>
      <c r="AD117" s="135">
        <v>1</v>
      </c>
      <c r="AE117" s="135">
        <v>2</v>
      </c>
      <c r="AF117" s="39"/>
    </row>
    <row r="118" spans="1:32" s="12" customFormat="1" ht="16.95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7.3219293883640262</v>
      </c>
      <c r="E118" s="129">
        <f>B117</f>
        <v>446.92192938836399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9.1512795328174388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" x14ac:dyDescent="0.35">
      <c r="A120" s="60">
        <f>Лист1!I$3</f>
        <v>8.5</v>
      </c>
      <c r="B120" s="13">
        <f>Лист1!I$8</f>
        <v>474.85454997513676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3.1703497367614997</v>
      </c>
      <c r="D120" s="15">
        <f>C120-E120</f>
        <v>0.84236320368193596</v>
      </c>
      <c r="E120" s="32">
        <f>IF(D121 &gt; $D$110,D121/$B120*100,0)</f>
        <v>2.3279865330795637</v>
      </c>
      <c r="F120" s="120">
        <v>122</v>
      </c>
      <c r="G120" s="121">
        <v>122</v>
      </c>
      <c r="H120" s="121">
        <v>122</v>
      </c>
      <c r="I120" s="121">
        <v>108.85455322265625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474.85455322265625</v>
      </c>
      <c r="X120" s="96">
        <v>39</v>
      </c>
      <c r="Y120" s="96">
        <v>3</v>
      </c>
      <c r="Z120" s="39">
        <v>108.85455322265625</v>
      </c>
      <c r="AA120" s="97"/>
      <c r="AB120" s="135"/>
      <c r="AC120" s="135"/>
      <c r="AD120" s="135"/>
      <c r="AE120" s="135"/>
      <c r="AF120" s="39"/>
    </row>
    <row r="121" spans="1:32" s="12" customFormat="1" ht="16.95" hidden="1" x14ac:dyDescent="0.3">
      <c r="A121" s="58"/>
      <c r="B121" s="119"/>
      <c r="C121" s="19">
        <f>$C$58*
(SIGN($F120)+SIGN($G120)+SIGN($H120)+SIGN($I120)
+SIGN($J120)+SIGN($K120)+SIGN($L120)+SIGN($M120)
+SIGN($N120)+SIGN($O120)+SIGN($P120)+SIGN($Q120)
+SIGN($R120)+SIGN($S120)+SIGN($T120)+SIGN($U120))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11.054549975136752</v>
      </c>
      <c r="E121" s="129">
        <f>B120</f>
        <v>474.85454997513676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119"/>
      <c r="C122" s="22"/>
      <c r="D122" s="22"/>
      <c r="E122" s="22">
        <f>IF(B120&gt;0,(B120/ROUNDUP(ROUNDUP(((B120-($C$108*ROUNDUP(B120/$H$108,0)))/$C$107),0)/$H$107,0)-$C$108)/$C$107,0-$C$108/$C$107)</f>
        <v>9.7283997928747272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" x14ac:dyDescent="0.35">
      <c r="A123" s="60">
        <f>Лист1!J$3</f>
        <v>9</v>
      </c>
      <c r="B123" s="13">
        <f>Лист1!J$8</f>
        <v>502.78717056190948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1.3300201264952727</v>
      </c>
      <c r="D123" s="15">
        <f>C123-E123</f>
        <v>1.3300201264952727</v>
      </c>
      <c r="E123" s="32">
        <f>IF(D124 &gt; $D$110,D124/$B123*100,0)</f>
        <v>0</v>
      </c>
      <c r="F123" s="78">
        <v>97.8</v>
      </c>
      <c r="G123" s="79">
        <v>97.8</v>
      </c>
      <c r="H123" s="79">
        <v>97.8</v>
      </c>
      <c r="I123" s="79">
        <v>97.8</v>
      </c>
      <c r="J123" s="79">
        <v>111.58717041015626</v>
      </c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502.78717041015625</v>
      </c>
      <c r="X123" s="135">
        <v>41</v>
      </c>
      <c r="Y123" s="135">
        <v>4</v>
      </c>
      <c r="Z123" s="39">
        <v>14.78717041015625</v>
      </c>
      <c r="AA123" s="39">
        <v>80.21282958984375</v>
      </c>
      <c r="AB123" s="135">
        <v>7</v>
      </c>
      <c r="AC123" s="135">
        <v>2</v>
      </c>
      <c r="AD123" s="135">
        <v>4</v>
      </c>
      <c r="AE123" s="135">
        <v>4</v>
      </c>
      <c r="AF123" s="39">
        <v>12.1</v>
      </c>
    </row>
    <row r="124" spans="1:32" s="12" customFormat="1" ht="16.95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5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1.687170561909511</v>
      </c>
      <c r="E124" s="129">
        <f>B123</f>
        <v>502.78717056190948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8.2278871167257766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" x14ac:dyDescent="0.35">
      <c r="A126" s="60">
        <f>Лист1!K$3</f>
        <v>9.5</v>
      </c>
      <c r="B126" s="13">
        <f>Лист1!K$8</f>
        <v>530.71979114868225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1.9633319356962073</v>
      </c>
      <c r="D126" s="15">
        <f>C126-E126</f>
        <v>0.94211674096005926</v>
      </c>
      <c r="E126" s="32">
        <f>IF(D127 &gt; $D$110,D127/$B126*100,0)</f>
        <v>1.0212151947361481</v>
      </c>
      <c r="F126" s="78">
        <v>109.9</v>
      </c>
      <c r="G126" s="79">
        <v>109.9</v>
      </c>
      <c r="H126" s="79">
        <v>97.8</v>
      </c>
      <c r="I126" s="79">
        <v>97.8</v>
      </c>
      <c r="J126" s="79">
        <v>115.31978759765622</v>
      </c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530.71978759765625</v>
      </c>
      <c r="X126" s="135">
        <v>43</v>
      </c>
      <c r="Y126" s="135">
        <v>4</v>
      </c>
      <c r="Z126" s="39">
        <v>42.71978759765625</v>
      </c>
      <c r="AA126" s="39">
        <v>52.28021240234375</v>
      </c>
      <c r="AB126" s="135">
        <v>5</v>
      </c>
      <c r="AC126" s="135">
        <v>2</v>
      </c>
      <c r="AD126" s="135">
        <v>3</v>
      </c>
      <c r="AE126" s="135">
        <v>4</v>
      </c>
      <c r="AF126" s="39">
        <v>12.1</v>
      </c>
    </row>
    <row r="127" spans="1:32" s="12" customFormat="1" ht="16.95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5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5.4197911486822932</v>
      </c>
      <c r="E127" s="129">
        <f>B126</f>
        <v>530.71979114868225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8.6895833247716077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" x14ac:dyDescent="0.35">
      <c r="A129" s="60">
        <f>Лист1!L$3</f>
        <v>10</v>
      </c>
      <c r="B129" s="13">
        <f>Лист1!L$8</f>
        <v>558.65241173545496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2.5333125639770286</v>
      </c>
      <c r="D129" s="15">
        <f>C129-E129</f>
        <v>0.89501090391205662</v>
      </c>
      <c r="E129" s="32">
        <f>IF(D130 &gt; $D$110,D130/$B129*100,0)</f>
        <v>1.638301660064972</v>
      </c>
      <c r="F129" s="78">
        <v>122</v>
      </c>
      <c r="G129" s="79">
        <v>109.9</v>
      </c>
      <c r="H129" s="79">
        <v>109.9</v>
      </c>
      <c r="I129" s="79">
        <v>109.9</v>
      </c>
      <c r="J129" s="79">
        <v>106.9524047851562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558.65240478515625</v>
      </c>
      <c r="X129" s="135">
        <v>46</v>
      </c>
      <c r="Y129" s="135">
        <v>4</v>
      </c>
      <c r="Z129" s="39">
        <v>70.65240478515625</v>
      </c>
      <c r="AA129" s="39">
        <v>24.34759521484375</v>
      </c>
      <c r="AB129" s="135">
        <v>3</v>
      </c>
      <c r="AC129" s="135">
        <v>2</v>
      </c>
      <c r="AD129" s="135">
        <v>2</v>
      </c>
      <c r="AE129" s="135">
        <v>3</v>
      </c>
      <c r="AF129" s="39"/>
    </row>
    <row r="130" spans="1:32" s="12" customFormat="1" ht="18.899999999999999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9.1524117354549617</v>
      </c>
      <c r="E130" s="129">
        <f>B129</f>
        <v>558.65241173545496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9.1512795328174388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" x14ac:dyDescent="0.35">
      <c r="A132" s="60">
        <f>Лист1!M$3</f>
        <v>10.5</v>
      </c>
      <c r="B132" s="13">
        <f>Лист1!M$8</f>
        <v>586.58503232222779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0.98622228721478056</v>
      </c>
      <c r="D132" s="15">
        <f>C132-E132</f>
        <v>0.98622228721478056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109.9</v>
      </c>
      <c r="J132" s="79">
        <v>110.68502197265627</v>
      </c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586.58502197265625</v>
      </c>
      <c r="X132" s="135">
        <v>48</v>
      </c>
      <c r="Y132" s="135">
        <v>4</v>
      </c>
      <c r="Z132" s="39">
        <v>98.58502197265625</v>
      </c>
      <c r="AA132" s="39"/>
      <c r="AB132" s="135"/>
      <c r="AC132" s="135">
        <v>2</v>
      </c>
      <c r="AD132" s="135">
        <v>1</v>
      </c>
      <c r="AE132" s="135">
        <v>1</v>
      </c>
      <c r="AF132" s="39">
        <v>12.1</v>
      </c>
    </row>
    <row r="133" spans="1:32" s="12" customFormat="1" ht="18.899999999999999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5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0.78503232222783481</v>
      </c>
      <c r="E133" s="129">
        <f>B132</f>
        <v>586.58503232222779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9.6129757408632699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" x14ac:dyDescent="0.35">
      <c r="A135" s="60">
        <f>Лист1!N$3</f>
        <v>11</v>
      </c>
      <c r="B135" s="13">
        <f>Лист1!N$8</f>
        <v>614.5176529090005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1.5488005696737739</v>
      </c>
      <c r="D135" s="15">
        <f>C135-E135</f>
        <v>0.97637553154042556</v>
      </c>
      <c r="E135" s="32">
        <f>IF(D136 &gt; $D$110,D136/$B135*100,0)</f>
        <v>0.57242503813334833</v>
      </c>
      <c r="F135" s="78">
        <v>109.9</v>
      </c>
      <c r="G135" s="79">
        <v>97.8</v>
      </c>
      <c r="H135" s="79">
        <v>97.8</v>
      </c>
      <c r="I135" s="79">
        <v>97.8</v>
      </c>
      <c r="J135" s="79">
        <v>97.8</v>
      </c>
      <c r="K135" s="79">
        <v>113.41763916015623</v>
      </c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614.51763916015625</v>
      </c>
      <c r="X135" s="135">
        <v>50</v>
      </c>
      <c r="Y135" s="135">
        <v>5</v>
      </c>
      <c r="Z135" s="39">
        <v>4.51763916015625</v>
      </c>
      <c r="AA135" s="39">
        <v>90.48236083984375</v>
      </c>
      <c r="AB135" s="135">
        <v>8</v>
      </c>
      <c r="AC135" s="135">
        <v>2</v>
      </c>
      <c r="AD135" s="135">
        <v>5</v>
      </c>
      <c r="AE135" s="135">
        <v>5</v>
      </c>
      <c r="AF135" s="39">
        <v>12.1</v>
      </c>
    </row>
    <row r="136" spans="1:32" s="12" customFormat="1" ht="18.899999999999999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6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3.5176529090005033</v>
      </c>
      <c r="E136" s="129">
        <f>B135</f>
        <v>614.5176529090005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8.3817858527410536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" x14ac:dyDescent="0.35">
      <c r="A138" s="60">
        <f>Лист1!O$3</f>
        <v>11.2</v>
      </c>
      <c r="B138" s="13">
        <f>Лист1!O$8</f>
        <v>625.69070114370959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1.3729948564053283</v>
      </c>
      <c r="D138" s="15">
        <f>C138-E138</f>
        <v>1.3729948564053283</v>
      </c>
      <c r="E138" s="32">
        <f>IF(D139 &gt; $D$110,D139/$B138*100,0)</f>
        <v>0</v>
      </c>
      <c r="F138" s="78">
        <v>109.9</v>
      </c>
      <c r="G138" s="79">
        <v>109.9</v>
      </c>
      <c r="H138" s="79">
        <v>97.8</v>
      </c>
      <c r="I138" s="79">
        <v>97.8</v>
      </c>
      <c r="J138" s="79">
        <v>97.8</v>
      </c>
      <c r="K138" s="79">
        <v>112.49067382812495</v>
      </c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625.690673828125</v>
      </c>
      <c r="X138" s="135">
        <v>51</v>
      </c>
      <c r="Y138" s="135">
        <v>5</v>
      </c>
      <c r="Z138" s="39">
        <v>15.690673828125</v>
      </c>
      <c r="AA138" s="39">
        <v>79.309326171875</v>
      </c>
      <c r="AB138" s="135">
        <v>7</v>
      </c>
      <c r="AC138" s="135">
        <v>2</v>
      </c>
      <c r="AD138" s="135">
        <v>4</v>
      </c>
      <c r="AE138" s="135">
        <v>5</v>
      </c>
      <c r="AF138" s="39">
        <v>12.1</v>
      </c>
    </row>
    <row r="139" spans="1:32" s="12" customFormat="1" ht="18.899999999999999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6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2.5907011437095662</v>
      </c>
      <c r="E139" s="129">
        <f>B138</f>
        <v>625.69070114370959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8.5356845887563306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" x14ac:dyDescent="0.35">
      <c r="A141" s="60">
        <f>Лист1!P$3</f>
        <v>11.4</v>
      </c>
      <c r="B141" s="13">
        <f>Лист1!P$8</f>
        <v>636.86374937841867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1.2033577646550913</v>
      </c>
      <c r="D141" s="15">
        <f>C141-E141</f>
        <v>1.2033577646550913</v>
      </c>
      <c r="E141" s="32">
        <f>IF(D142 &gt; $D$110,D142/$B141*100,0)</f>
        <v>0</v>
      </c>
      <c r="F141" s="78">
        <v>109.9</v>
      </c>
      <c r="G141" s="79">
        <v>109.9</v>
      </c>
      <c r="H141" s="79">
        <v>109.9</v>
      </c>
      <c r="I141" s="79">
        <v>97.8</v>
      </c>
      <c r="J141" s="79">
        <v>97.8</v>
      </c>
      <c r="K141" s="79">
        <v>111.56376953124993</v>
      </c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636.86376953125</v>
      </c>
      <c r="X141" s="135">
        <v>52</v>
      </c>
      <c r="Y141" s="135">
        <v>5</v>
      </c>
      <c r="Z141" s="39">
        <v>26.86376953125</v>
      </c>
      <c r="AA141" s="39">
        <v>68.13623046875</v>
      </c>
      <c r="AB141" s="135">
        <v>6</v>
      </c>
      <c r="AC141" s="135">
        <v>2</v>
      </c>
      <c r="AD141" s="135">
        <v>4</v>
      </c>
      <c r="AE141" s="135">
        <v>5</v>
      </c>
      <c r="AF141" s="39">
        <v>12.1</v>
      </c>
    </row>
    <row r="142" spans="1:32" s="12" customFormat="1" ht="18.899999999999999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6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1.6637493784187427</v>
      </c>
      <c r="E142" s="129">
        <f>B141</f>
        <v>636.86374937841867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8.6895833247716077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" x14ac:dyDescent="0.35">
      <c r="A144" s="60">
        <f>Лист1!Q$3</f>
        <v>11.6</v>
      </c>
      <c r="B144" s="27">
        <f>Лист1!Q$8</f>
        <v>648.03679761312776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1.0395702277927763</v>
      </c>
      <c r="D144" s="15">
        <f>C144-E144</f>
        <v>1.0395702277927763</v>
      </c>
      <c r="E144" s="32">
        <f>IF(D145 &gt; $D$110,D145/$B144*100,0)</f>
        <v>0</v>
      </c>
      <c r="F144" s="85">
        <v>109.9</v>
      </c>
      <c r="G144" s="82">
        <v>109.9</v>
      </c>
      <c r="H144" s="82">
        <v>109.9</v>
      </c>
      <c r="I144" s="82">
        <v>109.9</v>
      </c>
      <c r="J144" s="82">
        <v>97.8</v>
      </c>
      <c r="K144" s="82">
        <v>110.63680419921877</v>
      </c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71"/>
      <c r="W144" s="28">
        <f>SUM(F144:T144)</f>
        <v>648.03680419921875</v>
      </c>
      <c r="X144" s="135">
        <v>53</v>
      </c>
      <c r="Y144" s="135">
        <v>5</v>
      </c>
      <c r="Z144" s="39">
        <v>38.03680419921875</v>
      </c>
      <c r="AA144" s="39">
        <v>56.96319580078125</v>
      </c>
      <c r="AB144" s="135">
        <v>5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.899999999999999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6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0.73679761312780556</v>
      </c>
      <c r="E145" s="129">
        <f>B144</f>
        <v>648.03679761312776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8.8434820607868847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" x14ac:dyDescent="0.35">
      <c r="A147" s="60">
        <f>Лист1!R$3</f>
        <v>11.8</v>
      </c>
      <c r="B147" s="13">
        <f>Лист1!R$8</f>
        <v>659.20984584783696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2.7168656476607103</v>
      </c>
      <c r="D147" s="15">
        <f>C147-E147</f>
        <v>0.91018058024954906</v>
      </c>
      <c r="E147" s="32">
        <f>IF(D148 &gt; $D$110,D148/$B147*100,0)</f>
        <v>1.8066850674111612</v>
      </c>
      <c r="F147" s="78">
        <v>109.9</v>
      </c>
      <c r="G147" s="79">
        <v>109.9</v>
      </c>
      <c r="H147" s="79">
        <v>109.9</v>
      </c>
      <c r="I147" s="79">
        <v>109.9</v>
      </c>
      <c r="J147" s="79">
        <v>109.9</v>
      </c>
      <c r="K147" s="79">
        <v>109.7098388671875</v>
      </c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659.2098388671875</v>
      </c>
      <c r="X147" s="135">
        <v>54</v>
      </c>
      <c r="Y147" s="135">
        <v>5</v>
      </c>
      <c r="Z147" s="39">
        <v>49.2098388671875</v>
      </c>
      <c r="AA147" s="39">
        <v>45.7901611328125</v>
      </c>
      <c r="AB147" s="135">
        <v>4</v>
      </c>
      <c r="AC147" s="135">
        <v>2</v>
      </c>
      <c r="AD147" s="135">
        <v>3</v>
      </c>
      <c r="AE147" s="135">
        <v>5</v>
      </c>
      <c r="AF147" s="39">
        <v>12.1</v>
      </c>
    </row>
    <row r="148" spans="1:32" s="12" customFormat="1" ht="18.899999999999999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6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11.909845847837005</v>
      </c>
      <c r="E148" s="129">
        <f>B147</f>
        <v>659.20984584783696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8.9973807968021617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" x14ac:dyDescent="0.35">
      <c r="A150" s="60">
        <f>Лист1!S$3</f>
        <v>12</v>
      </c>
      <c r="B150" s="13">
        <f>Лист1!S$8</f>
        <v>670.38289408254604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2.5333125639770455</v>
      </c>
      <c r="D150" s="15">
        <f>C150-E150</f>
        <v>0.89501090391205684</v>
      </c>
      <c r="E150" s="32">
        <f>IF(D151 &gt; $D$110,D151/$B150*100,0)</f>
        <v>1.6383016600649887</v>
      </c>
      <c r="F150" s="87">
        <v>122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108.78287353515623</v>
      </c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670.38287353515625</v>
      </c>
      <c r="X150" s="135">
        <v>55</v>
      </c>
      <c r="Y150" s="135">
        <v>5</v>
      </c>
      <c r="Z150" s="39">
        <v>60.38287353515625</v>
      </c>
      <c r="AA150" s="141">
        <v>34.61712646484375</v>
      </c>
      <c r="AB150" s="135">
        <v>3</v>
      </c>
      <c r="AC150" s="135">
        <v>2</v>
      </c>
      <c r="AD150" s="135">
        <v>2</v>
      </c>
      <c r="AE150" s="135">
        <v>4</v>
      </c>
      <c r="AF150" s="39">
        <v>12.1</v>
      </c>
    </row>
    <row r="151" spans="1:32" s="12" customFormat="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6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10.982894082546068</v>
      </c>
      <c r="E151" s="129">
        <f>B150</f>
        <v>670.38289408254604</v>
      </c>
      <c r="F151" s="20">
        <f>C151-F150</f>
        <v>-116</v>
      </c>
      <c r="G151" s="26">
        <f t="shared" ref="G151:M151" si="11">F151-G150</f>
        <v>-225.9</v>
      </c>
      <c r="H151" s="26">
        <f t="shared" si="11"/>
        <v>-335.8</v>
      </c>
      <c r="I151" s="26">
        <f t="shared" si="11"/>
        <v>-445.70000000000005</v>
      </c>
      <c r="J151" s="26">
        <f t="shared" si="11"/>
        <v>-555.6</v>
      </c>
      <c r="K151" s="26">
        <f t="shared" si="11"/>
        <v>-664.38287353515625</v>
      </c>
      <c r="L151" s="26">
        <f t="shared" si="11"/>
        <v>-664.38287353515625</v>
      </c>
      <c r="M151" s="26">
        <f t="shared" si="11"/>
        <v>-664.38287353515625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9.1512795328174388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2.5403821631391632</v>
      </c>
      <c r="D153" s="31">
        <f>AVERAGE(D111,D114,D117,D120,D123,D126,D129,D132,D135,D138,D141,D144,D147,D150,)</f>
        <v>0.95105212884723345</v>
      </c>
      <c r="E153" s="31">
        <f>AVERAGE(E111,E114,E117,E120,E123,E126,E129,E132,E135,E138,E141,E144,E147,E150,)</f>
        <v>1.5893300342919299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2"/>
  <dimension ref="A1:AI153"/>
  <sheetViews>
    <sheetView zoomScaleNormal="100" workbookViewId="0">
      <selection activeCell="B2" sqref="B2"/>
    </sheetView>
  </sheetViews>
  <sheetFormatPr defaultColWidth="8.88671875" defaultRowHeight="15.6" x14ac:dyDescent="0.3"/>
  <cols>
    <col min="1" max="5" width="8.88671875" style="12"/>
    <col min="6" max="15" width="7.6640625" style="12" customWidth="1"/>
    <col min="16" max="16" width="2.6640625" style="12" customWidth="1"/>
    <col min="17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O7" s="153"/>
      <c r="P7" s="153"/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152"/>
      <c r="P8" s="93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210">
        <v>9</v>
      </c>
      <c r="O9" s="210">
        <v>10</v>
      </c>
      <c r="P9" s="154"/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211"/>
      <c r="O10" s="211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Лист1!F$9</f>
        <v>611.82777996070729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1.1159643586542902</v>
      </c>
      <c r="D11" s="15">
        <f>C11-E11</f>
        <v>1.1159643586542902</v>
      </c>
      <c r="E11" s="32">
        <f>IF(D12 &gt; $D$10,D12/$B11*100,0)</f>
        <v>0</v>
      </c>
      <c r="F11" s="78">
        <v>109.9</v>
      </c>
      <c r="G11" s="79">
        <v>109.9</v>
      </c>
      <c r="H11" s="79">
        <v>109.9</v>
      </c>
      <c r="I11" s="79">
        <v>97.8</v>
      </c>
      <c r="J11" s="79">
        <v>97.8</v>
      </c>
      <c r="K11" s="79">
        <v>92.707873535156182</v>
      </c>
      <c r="L11" s="79"/>
      <c r="M11" s="79"/>
      <c r="N11" s="158"/>
      <c r="O11" s="159"/>
      <c r="P11" s="104"/>
      <c r="Q11" s="104"/>
      <c r="R11" s="104"/>
      <c r="S11" s="104"/>
      <c r="T11" s="104"/>
      <c r="U11" s="104"/>
      <c r="W11" s="17">
        <f>SUM(F11:T11)</f>
        <v>618.00787353515625</v>
      </c>
      <c r="X11" s="96">
        <v>51</v>
      </c>
      <c r="Y11" s="96">
        <v>5</v>
      </c>
      <c r="Z11" s="39">
        <v>8.00787353515625</v>
      </c>
      <c r="AA11" s="97">
        <v>46.99212646484375</v>
      </c>
      <c r="AB11" s="135">
        <v>4</v>
      </c>
      <c r="AC11" s="135">
        <v>5</v>
      </c>
      <c r="AD11" s="135">
        <v>2</v>
      </c>
      <c r="AE11" s="135">
        <v>5</v>
      </c>
      <c r="AF11" s="39">
        <v>36.299999999999997</v>
      </c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+SIGN($R11)+SIGN($S11)+SIGN($T11)+SIGN($V10))</f>
        <v>7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-0.17222003929271068</v>
      </c>
      <c r="E12" s="129">
        <f>B11</f>
        <v>611.82777996070729</v>
      </c>
      <c r="F12" s="78"/>
      <c r="G12" s="79"/>
      <c r="H12" s="79"/>
      <c r="I12" s="79"/>
      <c r="J12" s="79"/>
      <c r="K12" s="79"/>
      <c r="L12" s="79"/>
      <c r="M12" s="79"/>
      <c r="N12" s="154"/>
      <c r="O12" s="160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8.3447352611667682</v>
      </c>
      <c r="F13" s="78"/>
      <c r="G13" s="79"/>
      <c r="H13" s="79"/>
      <c r="I13" s="79"/>
      <c r="J13" s="79"/>
      <c r="K13" s="79"/>
      <c r="L13" s="79"/>
      <c r="M13" s="79"/>
      <c r="N13" s="154"/>
      <c r="O13" s="160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Лист1!G$9</f>
        <v>655.52976424361498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0.32489207352353178</v>
      </c>
      <c r="D14" s="15">
        <f>C14-E14</f>
        <v>0.32489207352353178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109.9</v>
      </c>
      <c r="I14" s="79">
        <v>109.9</v>
      </c>
      <c r="J14" s="79">
        <v>109.9</v>
      </c>
      <c r="K14" s="79">
        <v>88.451306152343818</v>
      </c>
      <c r="L14" s="79"/>
      <c r="M14" s="79"/>
      <c r="N14" s="154"/>
      <c r="O14" s="160"/>
      <c r="P14" s="104"/>
      <c r="Q14" s="104"/>
      <c r="R14" s="104"/>
      <c r="S14" s="104"/>
      <c r="T14" s="104"/>
      <c r="U14" s="104"/>
      <c r="V14" s="41"/>
      <c r="W14" s="17">
        <f>SUM(F14:T14)</f>
        <v>662.15130615234375</v>
      </c>
      <c r="X14" s="96">
        <v>54</v>
      </c>
      <c r="Y14" s="96">
        <v>5</v>
      </c>
      <c r="Z14" s="39">
        <v>52.15130615234375</v>
      </c>
      <c r="AA14" s="97">
        <v>2.84869384765625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+SIGN($R14)+SIGN($S14)+SIGN($T14)+SIGN($V14))</f>
        <v>6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-3.8702357563850001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79"/>
      <c r="N15" s="154"/>
      <c r="O15" s="160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79"/>
      <c r="N16" s="154"/>
      <c r="O16" s="160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Лист1!H$9</f>
        <v>699.23174852652267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1.3631744477576713</v>
      </c>
      <c r="D17" s="15">
        <f>C17-E17</f>
        <v>0.85808460680506604</v>
      </c>
      <c r="E17" s="32">
        <f t="shared" si="2"/>
        <v>0.50508984095260523</v>
      </c>
      <c r="F17" s="78">
        <v>122</v>
      </c>
      <c r="G17" s="79">
        <v>122</v>
      </c>
      <c r="H17" s="79">
        <v>122</v>
      </c>
      <c r="I17" s="79">
        <v>122</v>
      </c>
      <c r="J17" s="79">
        <v>122</v>
      </c>
      <c r="K17" s="79">
        <v>96.294677734375</v>
      </c>
      <c r="L17" s="79"/>
      <c r="M17" s="79"/>
      <c r="N17" s="154"/>
      <c r="O17" s="160"/>
      <c r="P17" s="104"/>
      <c r="Q17" s="104"/>
      <c r="R17" s="104"/>
      <c r="S17" s="104"/>
      <c r="T17" s="104"/>
      <c r="U17" s="104"/>
      <c r="V17" s="41"/>
      <c r="W17" s="17">
        <f>SUM(F17:T17)</f>
        <v>706.294677734375</v>
      </c>
      <c r="X17" s="96">
        <v>58</v>
      </c>
      <c r="Y17" s="96">
        <v>5</v>
      </c>
      <c r="Z17" s="39">
        <v>96.294677734375</v>
      </c>
      <c r="AA17" s="97"/>
      <c r="AB17" s="135"/>
      <c r="AC17" s="135"/>
      <c r="AD17" s="135"/>
      <c r="AE17" s="135"/>
      <c r="AF17" s="39"/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+SIGN($R17)+SIGN($S17)+SIGN($T17)+SIGN($V17))</f>
        <v>6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3.5317485265227333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79"/>
      <c r="N18" s="154"/>
      <c r="O18" s="160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79"/>
      <c r="N19" s="154"/>
      <c r="O19" s="160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Лист1!I$9</f>
        <v>742.93373280943035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0.65062772034208183</v>
      </c>
      <c r="D20" s="15">
        <f>C20-E20</f>
        <v>0.65062772034208183</v>
      </c>
      <c r="E20" s="32">
        <f t="shared" si="2"/>
        <v>0</v>
      </c>
      <c r="F20" s="78">
        <v>109.9</v>
      </c>
      <c r="G20" s="79">
        <v>109.9</v>
      </c>
      <c r="H20" s="79">
        <v>109.9</v>
      </c>
      <c r="I20" s="79">
        <v>109.9</v>
      </c>
      <c r="J20" s="79">
        <v>109.9</v>
      </c>
      <c r="K20" s="79">
        <v>109.9</v>
      </c>
      <c r="L20" s="79">
        <v>91.038110351562523</v>
      </c>
      <c r="M20" s="79"/>
      <c r="N20" s="154"/>
      <c r="O20" s="160"/>
      <c r="P20" s="104"/>
      <c r="Q20" s="104"/>
      <c r="R20" s="104"/>
      <c r="S20" s="104"/>
      <c r="T20" s="104"/>
      <c r="U20" s="104"/>
      <c r="V20" s="41"/>
      <c r="W20" s="17">
        <f>SUM(F20:T20)</f>
        <v>750.4381103515625</v>
      </c>
      <c r="X20" s="96">
        <v>62</v>
      </c>
      <c r="Y20" s="96">
        <v>6</v>
      </c>
      <c r="Z20" s="39">
        <v>18.4381103515625</v>
      </c>
      <c r="AA20" s="97">
        <v>36.5618896484375</v>
      </c>
      <c r="AB20" s="135">
        <v>4</v>
      </c>
      <c r="AC20" s="135">
        <v>5</v>
      </c>
      <c r="AD20" s="135">
        <v>2</v>
      </c>
      <c r="AE20" s="135">
        <v>6</v>
      </c>
      <c r="AF20" s="39">
        <v>24.2</v>
      </c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+SIGN($R20)+SIGN($S20)+SIGN($T20)+SIGN($V20))</f>
        <v>7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-2.1662671905696698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79"/>
      <c r="N21" s="154"/>
      <c r="O21" s="160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79"/>
      <c r="N22" s="154"/>
      <c r="O22" s="160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Лист1!J$9</f>
        <v>786.63571709233804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1.7252851528239202E-2</v>
      </c>
      <c r="D23" s="15">
        <f>C23-E23</f>
        <v>1.7252851528239202E-2</v>
      </c>
      <c r="E23" s="32">
        <f t="shared" si="2"/>
        <v>0</v>
      </c>
      <c r="F23" s="78">
        <v>122</v>
      </c>
      <c r="G23" s="79">
        <v>122</v>
      </c>
      <c r="H23" s="79">
        <v>122</v>
      </c>
      <c r="I23" s="79">
        <v>122</v>
      </c>
      <c r="J23" s="79">
        <v>109.9</v>
      </c>
      <c r="K23" s="79">
        <v>109.9</v>
      </c>
      <c r="L23" s="79">
        <v>86.781542968750045</v>
      </c>
      <c r="M23" s="79"/>
      <c r="N23" s="155"/>
      <c r="O23" s="45"/>
      <c r="P23" s="38"/>
      <c r="Q23" s="38"/>
      <c r="R23" s="39"/>
      <c r="S23" s="102"/>
      <c r="T23" s="102"/>
      <c r="U23" s="102"/>
      <c r="V23" s="41"/>
      <c r="W23" s="17">
        <f>SUM(F23:T23)</f>
        <v>794.58154296875</v>
      </c>
      <c r="X23" s="96">
        <v>65</v>
      </c>
      <c r="Y23" s="96">
        <v>6</v>
      </c>
      <c r="Z23" s="39">
        <v>62.58154296875</v>
      </c>
      <c r="AA23" s="141"/>
      <c r="AB23" s="135"/>
      <c r="AC23" s="135">
        <v>5</v>
      </c>
      <c r="AD23" s="135">
        <v>1</v>
      </c>
      <c r="AE23" s="135">
        <v>2</v>
      </c>
      <c r="AF23" s="39">
        <v>24.2</v>
      </c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+SIGN($R23)+SIGN($S23)+SIGN($T23)+SIGN($V23))</f>
        <v>7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-6.8642829076619591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79"/>
      <c r="N24" s="156"/>
      <c r="O24" s="161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1"/>
      <c r="N25" s="25"/>
      <c r="O25" s="4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Лист1!K$9</f>
        <v>830.33770137524562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0.90778744151462154</v>
      </c>
      <c r="D26" s="15">
        <f>C26-E26</f>
        <v>0.90778744151462154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122</v>
      </c>
      <c r="J26" s="79">
        <v>122</v>
      </c>
      <c r="K26" s="79">
        <v>122</v>
      </c>
      <c r="L26" s="79">
        <v>106.7249755859375</v>
      </c>
      <c r="M26" s="79"/>
      <c r="N26" s="155"/>
      <c r="O26" s="45"/>
      <c r="P26" s="38"/>
      <c r="Q26" s="38"/>
      <c r="R26" s="39"/>
      <c r="S26" s="102"/>
      <c r="T26" s="102"/>
      <c r="U26" s="102"/>
      <c r="V26" s="41"/>
      <c r="W26" s="17">
        <f>SUM(F26:T26)</f>
        <v>838.7249755859375</v>
      </c>
      <c r="X26" s="96">
        <v>69</v>
      </c>
      <c r="Y26" s="96">
        <v>6</v>
      </c>
      <c r="Z26" s="39">
        <v>106.7249755859375</v>
      </c>
      <c r="AA26" s="141"/>
      <c r="AB26" s="135"/>
      <c r="AC26" s="135"/>
      <c r="AD26" s="135"/>
      <c r="AE26" s="135"/>
      <c r="AF26" s="39"/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+SIGN($R26)+SIGN($S26)+SIGN($T26)+SIGN($V26))</f>
        <v>7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0.53770137524566053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79"/>
      <c r="N27" s="156"/>
      <c r="O27" s="161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1"/>
      <c r="N28" s="25"/>
      <c r="O28" s="4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Лист1!L$9</f>
        <v>874.0396856581533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0.32489207352353611</v>
      </c>
      <c r="D29" s="15">
        <f>C29-E29</f>
        <v>0.32489207352353611</v>
      </c>
      <c r="E29" s="32">
        <f t="shared" si="2"/>
        <v>0</v>
      </c>
      <c r="F29" s="78">
        <v>122</v>
      </c>
      <c r="G29" s="79">
        <v>122</v>
      </c>
      <c r="H29" s="79">
        <v>109.9</v>
      </c>
      <c r="I29" s="79">
        <v>109.9</v>
      </c>
      <c r="J29" s="79">
        <v>109.9</v>
      </c>
      <c r="K29" s="79">
        <v>109.9</v>
      </c>
      <c r="L29" s="79">
        <v>109.9</v>
      </c>
      <c r="M29" s="79">
        <v>89.368347167968864</v>
      </c>
      <c r="N29" s="155"/>
      <c r="O29" s="45"/>
      <c r="P29" s="38"/>
      <c r="Q29" s="38"/>
      <c r="R29" s="39"/>
      <c r="S29" s="102"/>
      <c r="T29" s="102"/>
      <c r="U29" s="102"/>
      <c r="V29" s="41"/>
      <c r="W29" s="17">
        <f>SUM(F29:T29)</f>
        <v>882.86834716796875</v>
      </c>
      <c r="X29" s="140">
        <v>72</v>
      </c>
      <c r="Y29" s="140">
        <v>7</v>
      </c>
      <c r="Z29" s="39">
        <v>28.86834716796875</v>
      </c>
      <c r="AA29" s="39">
        <v>26.13165283203125</v>
      </c>
      <c r="AB29" s="135">
        <v>3</v>
      </c>
      <c r="AC29" s="135">
        <v>5</v>
      </c>
      <c r="AD29" s="135">
        <v>1</v>
      </c>
      <c r="AE29" s="135">
        <v>5</v>
      </c>
      <c r="AF29" s="39">
        <v>24.2</v>
      </c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+SIGN($R29)+SIGN($S29)+SIGN($T29)+SIGN($V29))</f>
        <v>8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-5.1603143418466288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79"/>
      <c r="N30" s="156"/>
      <c r="O30" s="161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1"/>
      <c r="N31" s="25"/>
      <c r="O31" s="4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Лист1!M$9</f>
        <v>917.74166994106099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1.1159643586542964</v>
      </c>
      <c r="D32" s="15">
        <f>C32-E32</f>
        <v>1.1159643586542964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122</v>
      </c>
      <c r="J32" s="79">
        <v>122</v>
      </c>
      <c r="K32" s="79">
        <v>122</v>
      </c>
      <c r="L32" s="79">
        <v>109.9</v>
      </c>
      <c r="M32" s="79">
        <v>85.111779785156273</v>
      </c>
      <c r="N32" s="155"/>
      <c r="O32" s="45"/>
      <c r="P32" s="38"/>
      <c r="Q32" s="38"/>
      <c r="R32" s="39"/>
      <c r="S32" s="102"/>
      <c r="T32" s="102"/>
      <c r="U32" s="102"/>
      <c r="V32" s="41"/>
      <c r="W32" s="17">
        <f>SUM(F32:T32)</f>
        <v>927.01177978515625</v>
      </c>
      <c r="X32" s="96">
        <v>76</v>
      </c>
      <c r="Y32" s="96">
        <v>7</v>
      </c>
      <c r="Z32" s="39">
        <v>73.01177978515625</v>
      </c>
      <c r="AA32" s="39"/>
      <c r="AB32" s="135"/>
      <c r="AC32" s="135">
        <v>5</v>
      </c>
      <c r="AD32" s="135">
        <v>1</v>
      </c>
      <c r="AE32" s="135">
        <v>1</v>
      </c>
      <c r="AF32" s="39">
        <v>12.1</v>
      </c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+SIGN($R32)+SIGN($S32)+SIGN($T32)+SIGN($V32))</f>
        <v>8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2.2416699410609908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79"/>
      <c r="N33" s="156"/>
      <c r="O33" s="161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1"/>
      <c r="N34" s="25"/>
      <c r="O34" s="4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Лист1!N$9</f>
        <v>961.44365422396868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0.57659689151968807</v>
      </c>
      <c r="D35" s="15">
        <f>C35-E35</f>
        <v>0.57659689151968807</v>
      </c>
      <c r="E35" s="32">
        <f t="shared" si="2"/>
        <v>0</v>
      </c>
      <c r="F35" s="78">
        <v>109.9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109.9</v>
      </c>
      <c r="L35" s="79">
        <v>109.9</v>
      </c>
      <c r="M35" s="79">
        <v>109.9</v>
      </c>
      <c r="N35" s="155">
        <v>91.955212402343818</v>
      </c>
      <c r="O35" s="45"/>
      <c r="P35" s="38"/>
      <c r="Q35" s="38"/>
      <c r="R35" s="39"/>
      <c r="S35" s="102"/>
      <c r="T35" s="102"/>
      <c r="U35" s="102"/>
      <c r="V35" s="41"/>
      <c r="W35" s="17">
        <f>SUM(F35:T35)</f>
        <v>971.15521240234375</v>
      </c>
      <c r="X35" s="96">
        <v>80</v>
      </c>
      <c r="Y35" s="96">
        <v>8</v>
      </c>
      <c r="Z35" s="39">
        <v>-4.84478759765625</v>
      </c>
      <c r="AA35" s="39">
        <v>59.84478759765625</v>
      </c>
      <c r="AB35" s="135">
        <v>5</v>
      </c>
      <c r="AC35" s="135">
        <v>5</v>
      </c>
      <c r="AD35" s="135">
        <v>2</v>
      </c>
      <c r="AE35" s="135">
        <v>8</v>
      </c>
      <c r="AF35" s="39">
        <v>36.299999999999997</v>
      </c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+SIGN($R35)+SIGN($S35)+SIGN($T35)+SIGN($V35))</f>
        <v>9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-3.4563457760312986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79"/>
      <c r="N36" s="156"/>
      <c r="O36" s="161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1"/>
      <c r="N37" s="25"/>
      <c r="O37" s="4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Лист1!O$9</f>
        <v>978.92444793713162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1.1159643586542856</v>
      </c>
      <c r="D38" s="15">
        <f>C38-E38</f>
        <v>1.1159643586542856</v>
      </c>
      <c r="E38" s="32">
        <f t="shared" si="2"/>
        <v>0</v>
      </c>
      <c r="F38" s="78">
        <v>122</v>
      </c>
      <c r="G38" s="79">
        <v>122</v>
      </c>
      <c r="H38" s="79">
        <v>109.9</v>
      </c>
      <c r="I38" s="79">
        <v>109.9</v>
      </c>
      <c r="J38" s="79">
        <v>109.9</v>
      </c>
      <c r="K38" s="79">
        <v>109.9</v>
      </c>
      <c r="L38" s="79">
        <v>109.9</v>
      </c>
      <c r="M38" s="79">
        <v>109.9</v>
      </c>
      <c r="N38" s="155">
        <v>85.412561035156386</v>
      </c>
      <c r="O38" s="45"/>
      <c r="P38" s="38"/>
      <c r="Q38" s="38"/>
      <c r="R38" s="39"/>
      <c r="S38" s="102"/>
      <c r="T38" s="102"/>
      <c r="U38" s="102"/>
      <c r="V38" s="41"/>
      <c r="W38" s="17">
        <f>SUM(F38:T38)</f>
        <v>988.81256103515625</v>
      </c>
      <c r="X38" s="135">
        <v>81</v>
      </c>
      <c r="Y38" s="135">
        <v>8</v>
      </c>
      <c r="Z38" s="39">
        <v>12.81256103515625</v>
      </c>
      <c r="AA38" s="39">
        <v>42.18743896484375</v>
      </c>
      <c r="AB38" s="135">
        <v>4</v>
      </c>
      <c r="AC38" s="135">
        <v>5</v>
      </c>
      <c r="AD38" s="135">
        <v>2</v>
      </c>
      <c r="AE38" s="135">
        <v>6</v>
      </c>
      <c r="AF38" s="39">
        <v>24.2</v>
      </c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+SIGN($R38)+SIGN($S38)+SIGN($T38)+SIGN($V38))</f>
        <v>9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1.9244479371316174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79"/>
      <c r="N39" s="156"/>
      <c r="O39" s="161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1"/>
      <c r="N40" s="25"/>
      <c r="O40" s="4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Лист1!P$9</f>
        <v>996.40524165029478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0.42204130152205205</v>
      </c>
      <c r="D41" s="15">
        <f>C41-E41</f>
        <v>0.42204130152205205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109.9</v>
      </c>
      <c r="J41" s="79">
        <v>109.9</v>
      </c>
      <c r="K41" s="79">
        <v>109.9</v>
      </c>
      <c r="L41" s="79">
        <v>109.9</v>
      </c>
      <c r="M41" s="79">
        <v>109.9</v>
      </c>
      <c r="N41" s="155">
        <v>90.969970703125114</v>
      </c>
      <c r="O41" s="45"/>
      <c r="P41" s="38"/>
      <c r="Q41" s="38"/>
      <c r="R41" s="39"/>
      <c r="S41" s="102"/>
      <c r="T41" s="102"/>
      <c r="U41" s="102"/>
      <c r="V41" s="41"/>
      <c r="W41" s="17">
        <f>SUM(F41:T41)</f>
        <v>1006.469970703125</v>
      </c>
      <c r="X41" s="135">
        <v>83</v>
      </c>
      <c r="Y41" s="135">
        <v>8</v>
      </c>
      <c r="Z41" s="39">
        <v>30.469970703125</v>
      </c>
      <c r="AA41" s="39">
        <v>24.530029296875</v>
      </c>
      <c r="AB41" s="135">
        <v>3</v>
      </c>
      <c r="AC41" s="135">
        <v>5</v>
      </c>
      <c r="AD41" s="135">
        <v>1</v>
      </c>
      <c r="AE41" s="135">
        <v>5</v>
      </c>
      <c r="AF41" s="39">
        <v>24.2</v>
      </c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+SIGN($R41)+SIGN($S41)+SIGN($T41)+SIGN($V41))</f>
        <v>9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-4.7947583497051482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79"/>
      <c r="N42" s="156"/>
      <c r="O42" s="161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1"/>
      <c r="N43" s="25"/>
      <c r="O43" s="4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Лист1!Q$9</f>
        <v>1013.8860353634578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0.94547464203128906</v>
      </c>
      <c r="D44" s="15">
        <f>C44-E44</f>
        <v>0.94547464203128906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109.9</v>
      </c>
      <c r="L44" s="82">
        <v>109.9</v>
      </c>
      <c r="M44" s="82">
        <v>109.9</v>
      </c>
      <c r="N44" s="163">
        <v>84.427319335937568</v>
      </c>
      <c r="O44" s="45"/>
      <c r="P44" s="38"/>
      <c r="Q44" s="38"/>
      <c r="R44" s="39"/>
      <c r="S44" s="102"/>
      <c r="T44" s="102"/>
      <c r="U44" s="102"/>
      <c r="V44" s="171"/>
      <c r="W44" s="28">
        <f>SUM(F44:T44)</f>
        <v>1024.1273193359375</v>
      </c>
      <c r="X44" s="135">
        <v>84</v>
      </c>
      <c r="Y44" s="135">
        <v>8</v>
      </c>
      <c r="Z44" s="39">
        <v>48.1273193359375</v>
      </c>
      <c r="AA44" s="39">
        <v>6.8726806640625</v>
      </c>
      <c r="AB44" s="135">
        <v>1</v>
      </c>
      <c r="AC44" s="135">
        <v>5</v>
      </c>
      <c r="AD44" s="135">
        <v>1</v>
      </c>
      <c r="AE44" s="135">
        <v>3</v>
      </c>
      <c r="AF44" s="39">
        <v>24.2</v>
      </c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+SIGN($R44)+SIGN($S44)+SIGN($T44)+SIGN($V44))</f>
        <v>9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0.58603536345788143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79"/>
      <c r="N45" s="156"/>
      <c r="O45" s="161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1"/>
      <c r="N46" s="25"/>
      <c r="O46" s="4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Лист1!R$9</f>
        <v>1031.3668290766209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0.27796405660899043</v>
      </c>
      <c r="D47" s="15">
        <f>C47-E47</f>
        <v>0.27796405660899043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109.9</v>
      </c>
      <c r="M47" s="79">
        <v>109.9</v>
      </c>
      <c r="N47" s="155">
        <v>89.984667968750045</v>
      </c>
      <c r="O47" s="45"/>
      <c r="P47" s="38"/>
      <c r="Q47" s="38"/>
      <c r="R47" s="39"/>
      <c r="S47" s="102"/>
      <c r="T47" s="102"/>
      <c r="U47" s="102"/>
      <c r="V47" s="41"/>
      <c r="W47" s="17">
        <f>SUM(F47:T47)</f>
        <v>1041.78466796875</v>
      </c>
      <c r="X47" s="135">
        <v>86</v>
      </c>
      <c r="Y47" s="135">
        <v>8</v>
      </c>
      <c r="Z47" s="39">
        <v>65.78466796875</v>
      </c>
      <c r="AA47" s="39"/>
      <c r="AB47" s="135"/>
      <c r="AC47" s="135">
        <v>5</v>
      </c>
      <c r="AD47" s="135">
        <v>1</v>
      </c>
      <c r="AE47" s="135">
        <v>2</v>
      </c>
      <c r="AF47" s="39">
        <v>24.2</v>
      </c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+SIGN($R47)+SIGN($S47)+SIGN($T47)+SIGN($V47))</f>
        <v>9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-6.1331709233791116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1"/>
      <c r="N48" s="156"/>
      <c r="O48" s="161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79"/>
      <c r="N49" s="25"/>
      <c r="O49" s="44"/>
      <c r="P49" s="38"/>
      <c r="Q49" s="38"/>
      <c r="R49" s="39"/>
      <c r="S49" s="102"/>
      <c r="T49" s="102"/>
      <c r="U49" s="102"/>
      <c r="V49" s="41"/>
      <c r="W49" s="17"/>
    </row>
    <row r="50" spans="1:35" ht="18" x14ac:dyDescent="0.35">
      <c r="A50" s="60">
        <f>Лист1!S$3</f>
        <v>12</v>
      </c>
      <c r="B50" s="224">
        <f>Лист1!S$9</f>
        <v>1048.8476227897841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0.7863509065164922</v>
      </c>
      <c r="D50" s="15">
        <f>C50-E50</f>
        <v>0.7863509065164922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122</v>
      </c>
      <c r="L50" s="88">
        <v>122</v>
      </c>
      <c r="M50" s="88">
        <v>109.9</v>
      </c>
      <c r="N50" s="162">
        <v>95.542016601562523</v>
      </c>
      <c r="O50" s="46"/>
      <c r="P50" s="38"/>
      <c r="Q50" s="38"/>
      <c r="R50" s="39"/>
      <c r="S50" s="102"/>
      <c r="T50" s="102"/>
      <c r="U50" s="102"/>
      <c r="V50" s="41"/>
      <c r="W50" s="17">
        <f>SUM(F50:T50)</f>
        <v>1059.4420166015625</v>
      </c>
      <c r="X50" s="135">
        <v>87</v>
      </c>
      <c r="Y50" s="135">
        <v>8</v>
      </c>
      <c r="Z50" s="39">
        <v>83.4420166015625</v>
      </c>
      <c r="AA50" s="141"/>
      <c r="AC50" s="135">
        <v>5</v>
      </c>
      <c r="AD50" s="135">
        <v>1</v>
      </c>
      <c r="AE50" s="135">
        <v>1</v>
      </c>
      <c r="AF50" s="39">
        <v>12.1</v>
      </c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9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-0.75237721021585457</v>
      </c>
      <c r="E51" s="129">
        <f>B50</f>
        <v>1048.8476227897841</v>
      </c>
      <c r="F51" s="20">
        <f>C51-F50</f>
        <v>-113</v>
      </c>
      <c r="G51" s="26">
        <f t="shared" ref="G51:M51" si="3">F51-G50</f>
        <v>-235</v>
      </c>
      <c r="H51" s="26">
        <f t="shared" si="3"/>
        <v>-357</v>
      </c>
      <c r="I51" s="26">
        <f t="shared" si="3"/>
        <v>-479</v>
      </c>
      <c r="J51" s="26">
        <f t="shared" si="3"/>
        <v>-601</v>
      </c>
      <c r="K51" s="26">
        <f t="shared" si="3"/>
        <v>-723</v>
      </c>
      <c r="L51" s="26">
        <f t="shared" si="3"/>
        <v>-845</v>
      </c>
      <c r="M51" s="26">
        <f t="shared" si="3"/>
        <v>-954.9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9.5486466739190465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0.66299649882340428</v>
      </c>
      <c r="D53" s="31">
        <f>AVERAGE(D11,D14,D17,D20,D23,D26,D29,D32,D35,D38,D41,D44,D47,D50,)</f>
        <v>0.62932384275989739</v>
      </c>
      <c r="E53" s="31">
        <f>AVERAGE(E11,E14,E17,E20,E23,E26,E29,E32,E35,E38,E41,E44,E47,E50,)</f>
        <v>3.3672656063507014E-2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399999999999999" x14ac:dyDescent="0.35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399999999999999" x14ac:dyDescent="0.35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399999999999999" x14ac:dyDescent="0.35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O57" s="153"/>
      <c r="P57" s="153"/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152"/>
      <c r="P58" s="93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210">
        <v>9</v>
      </c>
      <c r="O59" s="210">
        <v>10</v>
      </c>
      <c r="P59" s="157"/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211"/>
      <c r="O60" s="211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" x14ac:dyDescent="0.35">
      <c r="A61" s="60">
        <f>Лист1!F$3</f>
        <v>7</v>
      </c>
      <c r="B61" s="13">
        <f>Лист1!F$9</f>
        <v>611.82777996070729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1.1159643586542902</v>
      </c>
      <c r="D61" s="15">
        <f>C61-E61</f>
        <v>1.1159643586542902</v>
      </c>
      <c r="E61" s="32">
        <f>IF(D62 &gt; $D$60,D62/$B61*100,0)</f>
        <v>0</v>
      </c>
      <c r="F61" s="78">
        <v>109.9</v>
      </c>
      <c r="G61" s="79">
        <v>109.9</v>
      </c>
      <c r="H61" s="79">
        <v>97.8</v>
      </c>
      <c r="I61" s="79">
        <v>97.8</v>
      </c>
      <c r="J61" s="79">
        <v>97.8</v>
      </c>
      <c r="K61" s="79">
        <v>104.8078735351562</v>
      </c>
      <c r="L61" s="79"/>
      <c r="M61" s="79"/>
      <c r="N61" s="158"/>
      <c r="O61" s="159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618.00787353515625</v>
      </c>
      <c r="X61" s="96">
        <v>51</v>
      </c>
      <c r="Y61" s="96">
        <v>5</v>
      </c>
      <c r="Z61" s="39">
        <v>8.00787353515625</v>
      </c>
      <c r="AA61" s="97">
        <v>66.99212646484375</v>
      </c>
      <c r="AB61" s="135">
        <v>6</v>
      </c>
      <c r="AC61" s="135">
        <v>3</v>
      </c>
      <c r="AD61" s="135">
        <v>3</v>
      </c>
      <c r="AE61" s="135">
        <v>5</v>
      </c>
      <c r="AF61" s="39">
        <v>24.2</v>
      </c>
    </row>
    <row r="62" spans="1:35" ht="16.5" hidden="1" customHeight="1" x14ac:dyDescent="0.3">
      <c r="A62" s="58"/>
      <c r="B62" s="146"/>
      <c r="C62" s="19">
        <f>$C$58*
(SIGN($F61)+SIGN($G61)+SIGN($H61)+SIGN($I61)
+SIGN($J61)+SIGN($K61)+SIGN($L61)+SIGN($M61)
+SIGN($N61)+SIGN($O61)+SIGN($P61)+SIGN($Q61)
+SIGN($R61)+SIGN($S61)+SIGN($T61)+SIGN($V61))</f>
        <v>6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0.82777996070728932</v>
      </c>
      <c r="E62" s="129">
        <f>B61</f>
        <v>611.82777996070729</v>
      </c>
      <c r="F62" s="78"/>
      <c r="G62" s="79"/>
      <c r="H62" s="79"/>
      <c r="I62" s="79"/>
      <c r="J62" s="79"/>
      <c r="K62" s="79"/>
      <c r="L62" s="79"/>
      <c r="M62" s="79"/>
      <c r="N62" s="154"/>
      <c r="O62" s="160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5" hidden="1" customHeight="1" x14ac:dyDescent="0.3">
      <c r="A63" s="58"/>
      <c r="B63" s="146"/>
      <c r="C63" s="22"/>
      <c r="D63" s="22"/>
      <c r="E63" s="22">
        <f>IF(B61&gt;0,(B61/ROUNDUP(ROUNDUP(((B61-($C$58*ROUNDUP(B61/$H$58,0)))/$C$57),0)/$H$57,0)-$C$58)/$C$57,0-$C$58/$C$57)</f>
        <v>8.3447352611667682</v>
      </c>
      <c r="F63" s="78"/>
      <c r="G63" s="79"/>
      <c r="H63" s="79"/>
      <c r="I63" s="79"/>
      <c r="J63" s="79"/>
      <c r="K63" s="79"/>
      <c r="L63" s="79"/>
      <c r="M63" s="79"/>
      <c r="N63" s="154"/>
      <c r="O63" s="160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" x14ac:dyDescent="0.35">
      <c r="A64" s="60">
        <f>Лист1!G$3</f>
        <v>7.5</v>
      </c>
      <c r="B64" s="13">
        <f>Лист1!G$9</f>
        <v>655.52976424361498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0.32489207352353178</v>
      </c>
      <c r="D64" s="15">
        <f>C64-E64</f>
        <v>0.32489207352353178</v>
      </c>
      <c r="E64" s="32">
        <f t="shared" ref="E64:E100" si="7">IF(D65 &gt; $D$60,D65/$B64*100,0)</f>
        <v>0</v>
      </c>
      <c r="F64" s="78">
        <v>122</v>
      </c>
      <c r="G64" s="79">
        <v>109.9</v>
      </c>
      <c r="H64" s="79">
        <v>109.9</v>
      </c>
      <c r="I64" s="79">
        <v>109.9</v>
      </c>
      <c r="J64" s="79">
        <v>109.9</v>
      </c>
      <c r="K64" s="79">
        <v>100.55130615234373</v>
      </c>
      <c r="L64" s="79"/>
      <c r="M64" s="79"/>
      <c r="N64" s="154"/>
      <c r="O64" s="160"/>
      <c r="P64" s="104"/>
      <c r="Q64" s="104"/>
      <c r="R64" s="104"/>
      <c r="S64" s="104"/>
      <c r="T64" s="104"/>
      <c r="U64" s="104"/>
      <c r="V64" s="41"/>
      <c r="W64" s="17">
        <f t="shared" si="6"/>
        <v>662.15130615234375</v>
      </c>
      <c r="X64" s="96">
        <v>54</v>
      </c>
      <c r="Y64" s="96">
        <v>5</v>
      </c>
      <c r="Z64" s="39">
        <v>52.15130615234375</v>
      </c>
      <c r="AA64" s="97">
        <v>22.84869384765625</v>
      </c>
      <c r="AB64" s="135">
        <v>2</v>
      </c>
      <c r="AC64" s="135">
        <v>3</v>
      </c>
      <c r="AD64" s="135">
        <v>2</v>
      </c>
      <c r="AE64" s="135">
        <v>4</v>
      </c>
      <c r="AF64" s="39">
        <v>24.2</v>
      </c>
    </row>
    <row r="65" spans="1:32" s="12" customFormat="1" ht="16.5" hidden="1" customHeight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6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-3.8702357563850001</v>
      </c>
      <c r="E65" s="32">
        <f t="shared" si="7"/>
        <v>0</v>
      </c>
      <c r="F65" s="78"/>
      <c r="G65" s="79"/>
      <c r="H65" s="79"/>
      <c r="I65" s="79"/>
      <c r="J65" s="79"/>
      <c r="K65" s="79"/>
      <c r="L65" s="79"/>
      <c r="M65" s="79"/>
      <c r="N65" s="154"/>
      <c r="O65" s="160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5" hidden="1" customHeight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79"/>
      <c r="K66" s="79"/>
      <c r="L66" s="79"/>
      <c r="M66" s="79"/>
      <c r="N66" s="154"/>
      <c r="O66" s="160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" x14ac:dyDescent="0.35">
      <c r="A67" s="60">
        <f>Лист1!H$3</f>
        <v>8</v>
      </c>
      <c r="B67" s="13">
        <f>Лист1!H$9</f>
        <v>699.23174852652267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1.3631744477576713</v>
      </c>
      <c r="D67" s="15">
        <f>C67-E67</f>
        <v>0.85808460680506604</v>
      </c>
      <c r="E67" s="32">
        <f t="shared" si="7"/>
        <v>0.50508984095260523</v>
      </c>
      <c r="F67" s="78">
        <v>122</v>
      </c>
      <c r="G67" s="79">
        <v>122</v>
      </c>
      <c r="H67" s="79">
        <v>122</v>
      </c>
      <c r="I67" s="79">
        <v>122</v>
      </c>
      <c r="J67" s="79">
        <v>122</v>
      </c>
      <c r="K67" s="79">
        <v>96.294677734375</v>
      </c>
      <c r="L67" s="79"/>
      <c r="M67" s="79"/>
      <c r="N67" s="154"/>
      <c r="O67" s="160"/>
      <c r="P67" s="104"/>
      <c r="Q67" s="104"/>
      <c r="R67" s="104"/>
      <c r="S67" s="104"/>
      <c r="T67" s="104"/>
      <c r="U67" s="104"/>
      <c r="V67" s="41"/>
      <c r="W67" s="17">
        <f t="shared" si="6"/>
        <v>706.294677734375</v>
      </c>
      <c r="X67" s="96">
        <v>58</v>
      </c>
      <c r="Y67" s="96">
        <v>5</v>
      </c>
      <c r="Z67" s="39">
        <v>96.294677734375</v>
      </c>
      <c r="AA67" s="97"/>
      <c r="AB67" s="135"/>
      <c r="AC67" s="135"/>
      <c r="AD67" s="135"/>
      <c r="AE67" s="135"/>
      <c r="AF67" s="39"/>
    </row>
    <row r="68" spans="1:32" s="12" customFormat="1" ht="16.5" hidden="1" customHeight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6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3.5317485265227333</v>
      </c>
      <c r="E68" s="32">
        <f t="shared" si="7"/>
        <v>0</v>
      </c>
      <c r="F68" s="78"/>
      <c r="G68" s="79"/>
      <c r="H68" s="79"/>
      <c r="I68" s="79"/>
      <c r="J68" s="79"/>
      <c r="K68" s="79"/>
      <c r="L68" s="79"/>
      <c r="M68" s="79"/>
      <c r="N68" s="154"/>
      <c r="O68" s="160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5" hidden="1" customHeight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79"/>
      <c r="K69" s="79"/>
      <c r="L69" s="79"/>
      <c r="M69" s="79"/>
      <c r="N69" s="154"/>
      <c r="O69" s="160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" x14ac:dyDescent="0.35">
      <c r="A70" s="60">
        <f>Лист1!I$3</f>
        <v>8.5</v>
      </c>
      <c r="B70" s="13">
        <f>Лист1!I$9</f>
        <v>742.93373280943035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0.65062772034208183</v>
      </c>
      <c r="D70" s="15">
        <f>C70-E70</f>
        <v>0.65062772034208183</v>
      </c>
      <c r="E70" s="32">
        <f t="shared" si="7"/>
        <v>0</v>
      </c>
      <c r="F70" s="78">
        <v>109.9</v>
      </c>
      <c r="G70" s="79">
        <v>109.9</v>
      </c>
      <c r="H70" s="79">
        <v>109.9</v>
      </c>
      <c r="I70" s="79">
        <v>109.9</v>
      </c>
      <c r="J70" s="79">
        <v>109.9</v>
      </c>
      <c r="K70" s="79">
        <v>97.8</v>
      </c>
      <c r="L70" s="79">
        <v>103.13811035156255</v>
      </c>
      <c r="M70" s="79"/>
      <c r="N70" s="154"/>
      <c r="O70" s="160"/>
      <c r="P70" s="104"/>
      <c r="Q70" s="104"/>
      <c r="R70" s="104"/>
      <c r="S70" s="104"/>
      <c r="T70" s="104"/>
      <c r="U70" s="104"/>
      <c r="V70" s="41"/>
      <c r="W70" s="17">
        <f t="shared" si="6"/>
        <v>750.4381103515625</v>
      </c>
      <c r="X70" s="96">
        <v>62</v>
      </c>
      <c r="Y70" s="96">
        <v>6</v>
      </c>
      <c r="Z70" s="39">
        <v>18.4381103515625</v>
      </c>
      <c r="AA70" s="97">
        <v>56.5618896484375</v>
      </c>
      <c r="AB70" s="135">
        <v>5</v>
      </c>
      <c r="AC70" s="135">
        <v>3</v>
      </c>
      <c r="AD70" s="135">
        <v>3</v>
      </c>
      <c r="AE70" s="135">
        <v>6</v>
      </c>
      <c r="AF70" s="39">
        <v>24.2</v>
      </c>
    </row>
    <row r="71" spans="1:32" s="12" customFormat="1" ht="16.5" hidden="1" customHeight="1" x14ac:dyDescent="0.3">
      <c r="A71" s="58"/>
      <c r="B71" s="145"/>
      <c r="C71" s="19">
        <f>$C$58*
(SIGN($F70)+SIGN($G70)+SIGN($H70)+SIGN($I70)
+SIGN($J70)+SIGN($K70)+SIGN($L70)+SIGN($M70)
+SIGN($N70)+SIGN($O70)+SIGN($P70)+SIGN($Q70)
+SIGN($R70)+SIGN($S70)+SIGN($T70)+SIGN($V70))</f>
        <v>7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-2.1662671905696698</v>
      </c>
      <c r="E71" s="32">
        <f t="shared" si="7"/>
        <v>0</v>
      </c>
      <c r="F71" s="78"/>
      <c r="G71" s="79"/>
      <c r="H71" s="79"/>
      <c r="I71" s="79"/>
      <c r="J71" s="79"/>
      <c r="K71" s="79"/>
      <c r="L71" s="79"/>
      <c r="M71" s="79"/>
      <c r="N71" s="154"/>
      <c r="O71" s="160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5" hidden="1" customHeight="1" x14ac:dyDescent="0.3">
      <c r="A72" s="58"/>
      <c r="B72" s="145"/>
      <c r="C72" s="22"/>
      <c r="D72" s="22"/>
      <c r="E72" s="32">
        <f t="shared" si="7"/>
        <v>0</v>
      </c>
      <c r="F72" s="78"/>
      <c r="G72" s="79"/>
      <c r="H72" s="79"/>
      <c r="I72" s="79"/>
      <c r="J72" s="79"/>
      <c r="K72" s="79"/>
      <c r="L72" s="79"/>
      <c r="M72" s="79"/>
      <c r="N72" s="154"/>
      <c r="O72" s="160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" x14ac:dyDescent="0.35">
      <c r="A73" s="60">
        <f>Лист1!J$3</f>
        <v>9</v>
      </c>
      <c r="B73" s="13">
        <f>Лист1!J$9</f>
        <v>786.63571709233804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1.7252851528239202E-2</v>
      </c>
      <c r="D73" s="15">
        <f>C73-E73</f>
        <v>1.7252851528239202E-2</v>
      </c>
      <c r="E73" s="32">
        <f t="shared" si="7"/>
        <v>0</v>
      </c>
      <c r="F73" s="78">
        <v>122</v>
      </c>
      <c r="G73" s="79">
        <v>122</v>
      </c>
      <c r="H73" s="79">
        <v>122</v>
      </c>
      <c r="I73" s="79">
        <v>109.9</v>
      </c>
      <c r="J73" s="79">
        <v>109.9</v>
      </c>
      <c r="K73" s="79">
        <v>109.9</v>
      </c>
      <c r="L73" s="79">
        <v>98.881542968750068</v>
      </c>
      <c r="M73" s="79"/>
      <c r="N73" s="155"/>
      <c r="O73" s="45"/>
      <c r="P73" s="38"/>
      <c r="Q73" s="38"/>
      <c r="R73" s="39"/>
      <c r="S73" s="102"/>
      <c r="T73" s="102"/>
      <c r="U73" s="102"/>
      <c r="V73" s="41"/>
      <c r="W73" s="17">
        <f>SUM(F73:T73)</f>
        <v>794.58154296875</v>
      </c>
      <c r="X73" s="135">
        <v>65</v>
      </c>
      <c r="Y73" s="135">
        <v>6</v>
      </c>
      <c r="Z73" s="39">
        <v>62.58154296875</v>
      </c>
      <c r="AA73" s="141">
        <v>12.41845703125</v>
      </c>
      <c r="AB73" s="135">
        <v>2</v>
      </c>
      <c r="AC73" s="135">
        <v>3</v>
      </c>
      <c r="AD73" s="135">
        <v>1</v>
      </c>
      <c r="AE73" s="135">
        <v>3</v>
      </c>
      <c r="AF73" s="39">
        <v>12.1</v>
      </c>
    </row>
    <row r="74" spans="1:32" s="12" customFormat="1" ht="16.5" hidden="1" customHeight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7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-6.8642829076619591</v>
      </c>
      <c r="E74" s="32">
        <f t="shared" si="7"/>
        <v>0</v>
      </c>
      <c r="F74" s="81"/>
      <c r="G74" s="81"/>
      <c r="H74" s="81"/>
      <c r="I74" s="81"/>
      <c r="J74" s="81"/>
      <c r="K74" s="81"/>
      <c r="L74" s="81"/>
      <c r="M74" s="79"/>
      <c r="N74" s="156"/>
      <c r="O74" s="161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5" hidden="1" customHeight="1" x14ac:dyDescent="0.3">
      <c r="A75" s="59"/>
      <c r="B75" s="13"/>
      <c r="C75" s="22"/>
      <c r="D75" s="22"/>
      <c r="E75" s="32">
        <f t="shared" si="7"/>
        <v>0</v>
      </c>
      <c r="F75" s="82"/>
      <c r="G75" s="79"/>
      <c r="H75" s="79"/>
      <c r="I75" s="79"/>
      <c r="J75" s="79"/>
      <c r="K75" s="79"/>
      <c r="L75" s="83"/>
      <c r="M75" s="81"/>
      <c r="N75" s="25"/>
      <c r="O75" s="44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" x14ac:dyDescent="0.35">
      <c r="A76" s="60">
        <f>Лист1!K$3</f>
        <v>9.5</v>
      </c>
      <c r="B76" s="13">
        <f>Лист1!K$9</f>
        <v>830.33770137524562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0.90778744151462154</v>
      </c>
      <c r="D76" s="15">
        <f>C76-E76</f>
        <v>0.90778744151462154</v>
      </c>
      <c r="E76" s="32">
        <f t="shared" si="7"/>
        <v>0</v>
      </c>
      <c r="F76" s="78">
        <v>122</v>
      </c>
      <c r="G76" s="79">
        <v>122</v>
      </c>
      <c r="H76" s="79">
        <v>122</v>
      </c>
      <c r="I76" s="79">
        <v>122</v>
      </c>
      <c r="J76" s="79">
        <v>122</v>
      </c>
      <c r="K76" s="79">
        <v>122</v>
      </c>
      <c r="L76" s="79">
        <v>106.7249755859375</v>
      </c>
      <c r="M76" s="79"/>
      <c r="N76" s="155"/>
      <c r="O76" s="45"/>
      <c r="P76" s="38"/>
      <c r="Q76" s="38"/>
      <c r="R76" s="39"/>
      <c r="S76" s="102"/>
      <c r="T76" s="102"/>
      <c r="U76" s="102"/>
      <c r="V76" s="41"/>
      <c r="W76" s="17">
        <f>SUM(F76:T76)</f>
        <v>838.7249755859375</v>
      </c>
      <c r="X76" s="135">
        <v>69</v>
      </c>
      <c r="Y76" s="135">
        <v>6</v>
      </c>
      <c r="Z76" s="39">
        <v>106.7249755859375</v>
      </c>
      <c r="AA76" s="39"/>
      <c r="AB76" s="135"/>
      <c r="AC76" s="135"/>
      <c r="AD76" s="135"/>
      <c r="AE76" s="135"/>
      <c r="AF76" s="39"/>
    </row>
    <row r="77" spans="1:32" s="12" customFormat="1" ht="16.5" hidden="1" customHeight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7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0.53770137524566053</v>
      </c>
      <c r="E77" s="32">
        <f t="shared" si="7"/>
        <v>0</v>
      </c>
      <c r="F77" s="81"/>
      <c r="G77" s="81"/>
      <c r="H77" s="81"/>
      <c r="I77" s="81"/>
      <c r="J77" s="81"/>
      <c r="K77" s="81"/>
      <c r="L77" s="81"/>
      <c r="M77" s="79"/>
      <c r="N77" s="156"/>
      <c r="O77" s="161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5" hidden="1" customHeight="1" x14ac:dyDescent="0.3">
      <c r="A78" s="59"/>
      <c r="B78" s="13"/>
      <c r="C78" s="22"/>
      <c r="D78" s="22"/>
      <c r="E78" s="32">
        <f t="shared" si="7"/>
        <v>0</v>
      </c>
      <c r="F78" s="82"/>
      <c r="G78" s="79"/>
      <c r="H78" s="79"/>
      <c r="I78" s="79"/>
      <c r="J78" s="79"/>
      <c r="K78" s="79"/>
      <c r="L78" s="83"/>
      <c r="M78" s="81"/>
      <c r="N78" s="25"/>
      <c r="O78" s="44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" x14ac:dyDescent="0.35">
      <c r="A79" s="60">
        <f>Лист1!L$3</f>
        <v>10</v>
      </c>
      <c r="B79" s="13">
        <f>Лист1!L$9</f>
        <v>874.0396856581533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0.32489207352353611</v>
      </c>
      <c r="D79" s="15">
        <f>C79-E79</f>
        <v>0.32489207352353611</v>
      </c>
      <c r="E79" s="32">
        <f t="shared" si="7"/>
        <v>0</v>
      </c>
      <c r="F79" s="78">
        <v>122</v>
      </c>
      <c r="G79" s="79">
        <v>109.9</v>
      </c>
      <c r="H79" s="79">
        <v>109.9</v>
      </c>
      <c r="I79" s="79">
        <v>109.9</v>
      </c>
      <c r="J79" s="79">
        <v>109.9</v>
      </c>
      <c r="K79" s="79">
        <v>109.9</v>
      </c>
      <c r="L79" s="79">
        <v>109.9</v>
      </c>
      <c r="M79" s="79">
        <v>101.46834716796877</v>
      </c>
      <c r="N79" s="155"/>
      <c r="O79" s="45"/>
      <c r="P79" s="38"/>
      <c r="Q79" s="38"/>
      <c r="R79" s="39"/>
      <c r="S79" s="102"/>
      <c r="T79" s="102"/>
      <c r="U79" s="102"/>
      <c r="V79" s="41"/>
      <c r="W79" s="17">
        <f>SUM(F79:T79)</f>
        <v>882.86834716796875</v>
      </c>
      <c r="X79" s="135">
        <v>72</v>
      </c>
      <c r="Y79" s="135">
        <v>7</v>
      </c>
      <c r="Z79" s="39">
        <v>28.86834716796875</v>
      </c>
      <c r="AA79" s="39">
        <v>46.13165283203125</v>
      </c>
      <c r="AB79" s="135">
        <v>4</v>
      </c>
      <c r="AC79" s="135">
        <v>3</v>
      </c>
      <c r="AD79" s="135">
        <v>2</v>
      </c>
      <c r="AE79" s="135">
        <v>6</v>
      </c>
      <c r="AF79" s="39">
        <v>24.2</v>
      </c>
    </row>
    <row r="80" spans="1:32" s="12" customFormat="1" ht="18" hidden="1" customHeight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8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-5.1603143418466288</v>
      </c>
      <c r="E80" s="32">
        <f t="shared" si="7"/>
        <v>0</v>
      </c>
      <c r="F80" s="81"/>
      <c r="G80" s="81"/>
      <c r="H80" s="81"/>
      <c r="I80" s="81"/>
      <c r="J80" s="81"/>
      <c r="K80" s="81"/>
      <c r="L80" s="81"/>
      <c r="M80" s="79"/>
      <c r="N80" s="156"/>
      <c r="O80" s="161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" hidden="1" customHeight="1" x14ac:dyDescent="0.35">
      <c r="A81" s="60"/>
      <c r="B81" s="13"/>
      <c r="C81" s="22"/>
      <c r="D81" s="22"/>
      <c r="E81" s="32">
        <f t="shared" si="7"/>
        <v>0</v>
      </c>
      <c r="F81" s="82"/>
      <c r="G81" s="79"/>
      <c r="H81" s="79"/>
      <c r="I81" s="79"/>
      <c r="J81" s="79"/>
      <c r="K81" s="79"/>
      <c r="L81" s="83"/>
      <c r="M81" s="81"/>
      <c r="N81" s="25"/>
      <c r="O81" s="44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" x14ac:dyDescent="0.35">
      <c r="A82" s="60">
        <f>Лист1!M$3</f>
        <v>10.5</v>
      </c>
      <c r="B82" s="13">
        <f>Лист1!M$9</f>
        <v>917.74166994106099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1.1159643586542964</v>
      </c>
      <c r="D82" s="15">
        <f>C82-E82</f>
        <v>1.1159643586542964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122</v>
      </c>
      <c r="J82" s="79">
        <v>122</v>
      </c>
      <c r="K82" s="79">
        <v>109.9</v>
      </c>
      <c r="L82" s="79">
        <v>109.9</v>
      </c>
      <c r="M82" s="79">
        <v>97.211779785156295</v>
      </c>
      <c r="N82" s="155"/>
      <c r="O82" s="45"/>
      <c r="P82" s="38"/>
      <c r="Q82" s="38"/>
      <c r="R82" s="39"/>
      <c r="S82" s="102"/>
      <c r="T82" s="102"/>
      <c r="U82" s="102"/>
      <c r="V82" s="41"/>
      <c r="W82" s="17">
        <f>SUM(F82:T82)</f>
        <v>927.01177978515625</v>
      </c>
      <c r="X82" s="135">
        <v>76</v>
      </c>
      <c r="Y82" s="135">
        <v>7</v>
      </c>
      <c r="Z82" s="39">
        <v>73.01177978515625</v>
      </c>
      <c r="AA82" s="39">
        <v>1.98822021484375</v>
      </c>
      <c r="AB82" s="135">
        <v>1</v>
      </c>
      <c r="AC82" s="135">
        <v>3</v>
      </c>
      <c r="AD82" s="135">
        <v>1</v>
      </c>
      <c r="AE82" s="135">
        <v>2</v>
      </c>
      <c r="AF82" s="39">
        <v>12.1</v>
      </c>
    </row>
    <row r="83" spans="1:32" s="12" customFormat="1" ht="18" hidden="1" customHeight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8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2.2416699410609908</v>
      </c>
      <c r="E83" s="32">
        <f t="shared" si="7"/>
        <v>0</v>
      </c>
      <c r="F83" s="81"/>
      <c r="G83" s="81"/>
      <c r="H83" s="81"/>
      <c r="I83" s="81"/>
      <c r="J83" s="81"/>
      <c r="K83" s="81"/>
      <c r="L83" s="81"/>
      <c r="M83" s="79"/>
      <c r="N83" s="156"/>
      <c r="O83" s="161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" hidden="1" customHeight="1" x14ac:dyDescent="0.35">
      <c r="A84" s="60"/>
      <c r="B84" s="13"/>
      <c r="C84" s="22"/>
      <c r="D84" s="22"/>
      <c r="E84" s="32">
        <f t="shared" si="7"/>
        <v>0</v>
      </c>
      <c r="F84" s="82"/>
      <c r="G84" s="79"/>
      <c r="H84" s="79"/>
      <c r="I84" s="79"/>
      <c r="J84" s="79"/>
      <c r="K84" s="79"/>
      <c r="L84" s="79"/>
      <c r="M84" s="81"/>
      <c r="N84" s="25"/>
      <c r="O84" s="44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" x14ac:dyDescent="0.35">
      <c r="A85" s="60">
        <f>Лист1!N$3</f>
        <v>11</v>
      </c>
      <c r="B85" s="13">
        <f>Лист1!N$9</f>
        <v>961.44365422396868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0.57659689151968807</v>
      </c>
      <c r="D85" s="15">
        <f>C85-E85</f>
        <v>0.57659689151968807</v>
      </c>
      <c r="E85" s="32">
        <f t="shared" si="7"/>
        <v>0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109.9</v>
      </c>
      <c r="M85" s="79">
        <v>97.8</v>
      </c>
      <c r="N85" s="155">
        <v>104.05521240234384</v>
      </c>
      <c r="O85" s="45"/>
      <c r="P85" s="38"/>
      <c r="Q85" s="38"/>
      <c r="R85" s="39"/>
      <c r="S85" s="102"/>
      <c r="T85" s="102"/>
      <c r="U85" s="102"/>
      <c r="V85" s="41"/>
      <c r="W85" s="17">
        <f>SUM(F85:T85)</f>
        <v>971.15521240234375</v>
      </c>
      <c r="X85" s="135">
        <v>80</v>
      </c>
      <c r="Y85" s="135">
        <v>8</v>
      </c>
      <c r="Z85" s="39">
        <v>-4.84478759765625</v>
      </c>
      <c r="AA85" s="39">
        <v>79.84478759765625</v>
      </c>
      <c r="AB85" s="135">
        <v>7</v>
      </c>
      <c r="AC85" s="135">
        <v>3</v>
      </c>
      <c r="AD85" s="135">
        <v>3</v>
      </c>
      <c r="AE85" s="135">
        <v>8</v>
      </c>
      <c r="AF85" s="39">
        <v>24.2</v>
      </c>
    </row>
    <row r="86" spans="1:32" s="12" customFormat="1" ht="18" hidden="1" customHeight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9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-3.4563457760312986</v>
      </c>
      <c r="E86" s="32">
        <f t="shared" si="7"/>
        <v>0</v>
      </c>
      <c r="F86" s="81"/>
      <c r="G86" s="81"/>
      <c r="H86" s="81"/>
      <c r="I86" s="81"/>
      <c r="J86" s="81"/>
      <c r="K86" s="81"/>
      <c r="L86" s="81"/>
      <c r="M86" s="79"/>
      <c r="N86" s="156"/>
      <c r="O86" s="161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" hidden="1" customHeight="1" x14ac:dyDescent="0.35">
      <c r="A87" s="60"/>
      <c r="B87" s="13"/>
      <c r="C87" s="22"/>
      <c r="D87" s="22"/>
      <c r="E87" s="32">
        <f t="shared" si="7"/>
        <v>0</v>
      </c>
      <c r="F87" s="82"/>
      <c r="G87" s="79"/>
      <c r="H87" s="79"/>
      <c r="I87" s="79"/>
      <c r="J87" s="79"/>
      <c r="K87" s="79"/>
      <c r="L87" s="79"/>
      <c r="M87" s="81"/>
      <c r="N87" s="25"/>
      <c r="O87" s="44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" x14ac:dyDescent="0.35">
      <c r="A88" s="60">
        <f>Лист1!O$3</f>
        <v>11.2</v>
      </c>
      <c r="B88" s="13">
        <f>Лист1!O$9</f>
        <v>978.92444793713162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1.1159643586542856</v>
      </c>
      <c r="D88" s="15">
        <f>C88-E88</f>
        <v>1.1159643586542856</v>
      </c>
      <c r="E88" s="32">
        <f t="shared" si="7"/>
        <v>0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109.9</v>
      </c>
      <c r="K88" s="79">
        <v>109.9</v>
      </c>
      <c r="L88" s="79">
        <v>109.9</v>
      </c>
      <c r="M88" s="79">
        <v>109.9</v>
      </c>
      <c r="N88" s="155">
        <v>97.512561035156295</v>
      </c>
      <c r="O88" s="45"/>
      <c r="P88" s="38"/>
      <c r="Q88" s="38"/>
      <c r="R88" s="39"/>
      <c r="S88" s="102"/>
      <c r="T88" s="102"/>
      <c r="U88" s="102"/>
      <c r="V88" s="41"/>
      <c r="W88" s="17">
        <f>SUM(F88:T88)</f>
        <v>988.81256103515625</v>
      </c>
      <c r="X88" s="135">
        <v>81</v>
      </c>
      <c r="Y88" s="135">
        <v>8</v>
      </c>
      <c r="Z88" s="39">
        <v>12.81256103515625</v>
      </c>
      <c r="AA88" s="39">
        <v>62.18743896484375</v>
      </c>
      <c r="AB88" s="135">
        <v>6</v>
      </c>
      <c r="AC88" s="135">
        <v>3</v>
      </c>
      <c r="AD88" s="135">
        <v>3</v>
      </c>
      <c r="AE88" s="135">
        <v>7</v>
      </c>
      <c r="AF88" s="39">
        <v>12.1</v>
      </c>
    </row>
    <row r="89" spans="1:32" s="12" customFormat="1" ht="18" hidden="1" customHeight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9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1.9244479371316174</v>
      </c>
      <c r="E89" s="32">
        <f t="shared" si="7"/>
        <v>0</v>
      </c>
      <c r="F89" s="81"/>
      <c r="G89" s="81"/>
      <c r="H89" s="81"/>
      <c r="I89" s="81"/>
      <c r="J89" s="81"/>
      <c r="K89" s="81"/>
      <c r="L89" s="81"/>
      <c r="M89" s="79"/>
      <c r="N89" s="156"/>
      <c r="O89" s="161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" hidden="1" customHeight="1" x14ac:dyDescent="0.35">
      <c r="A90" s="60"/>
      <c r="B90" s="13"/>
      <c r="C90" s="22"/>
      <c r="D90" s="22"/>
      <c r="E90" s="32">
        <f t="shared" si="7"/>
        <v>0</v>
      </c>
      <c r="F90" s="82"/>
      <c r="G90" s="79"/>
      <c r="H90" s="79"/>
      <c r="I90" s="79"/>
      <c r="J90" s="79"/>
      <c r="K90" s="79"/>
      <c r="L90" s="79"/>
      <c r="M90" s="81"/>
      <c r="N90" s="25"/>
      <c r="O90" s="44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" x14ac:dyDescent="0.35">
      <c r="A91" s="60">
        <f>Лист1!P$3</f>
        <v>11.4</v>
      </c>
      <c r="B91" s="13">
        <f>Лист1!P$9</f>
        <v>996.40524165029478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0.42204130152205205</v>
      </c>
      <c r="D91" s="15">
        <f>C91-E91</f>
        <v>0.42204130152205205</v>
      </c>
      <c r="E91" s="32">
        <f t="shared" si="7"/>
        <v>0</v>
      </c>
      <c r="F91" s="78">
        <v>122</v>
      </c>
      <c r="G91" s="79">
        <v>122</v>
      </c>
      <c r="H91" s="79">
        <v>109.9</v>
      </c>
      <c r="I91" s="79">
        <v>109.9</v>
      </c>
      <c r="J91" s="79">
        <v>109.9</v>
      </c>
      <c r="K91" s="79">
        <v>109.9</v>
      </c>
      <c r="L91" s="79">
        <v>109.9</v>
      </c>
      <c r="M91" s="79">
        <v>109.9</v>
      </c>
      <c r="N91" s="155">
        <v>103.06997070312514</v>
      </c>
      <c r="O91" s="45"/>
      <c r="P91" s="38"/>
      <c r="Q91" s="38"/>
      <c r="R91" s="39"/>
      <c r="S91" s="102"/>
      <c r="T91" s="102"/>
      <c r="U91" s="102"/>
      <c r="V91" s="41"/>
      <c r="W91" s="17">
        <f>SUM(F91:T91)</f>
        <v>1006.469970703125</v>
      </c>
      <c r="X91" s="135">
        <v>83</v>
      </c>
      <c r="Y91" s="135">
        <v>8</v>
      </c>
      <c r="Z91" s="39">
        <v>30.469970703125</v>
      </c>
      <c r="AA91" s="39">
        <v>44.530029296875</v>
      </c>
      <c r="AB91" s="135">
        <v>4</v>
      </c>
      <c r="AC91" s="135">
        <v>3</v>
      </c>
      <c r="AD91" s="135">
        <v>2</v>
      </c>
      <c r="AE91" s="135">
        <v>6</v>
      </c>
      <c r="AF91" s="39">
        <v>24.2</v>
      </c>
    </row>
    <row r="92" spans="1:32" s="12" customFormat="1" ht="18" hidden="1" customHeight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9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-4.7947583497051482</v>
      </c>
      <c r="E92" s="32">
        <f t="shared" si="7"/>
        <v>0</v>
      </c>
      <c r="F92" s="81"/>
      <c r="G92" s="81"/>
      <c r="H92" s="81"/>
      <c r="I92" s="81"/>
      <c r="J92" s="81"/>
      <c r="K92" s="81"/>
      <c r="L92" s="81"/>
      <c r="M92" s="79"/>
      <c r="N92" s="156"/>
      <c r="O92" s="161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" hidden="1" customHeight="1" x14ac:dyDescent="0.35">
      <c r="A93" s="60"/>
      <c r="B93" s="13"/>
      <c r="C93" s="22"/>
      <c r="D93" s="22"/>
      <c r="E93" s="32">
        <f t="shared" si="7"/>
        <v>0</v>
      </c>
      <c r="F93" s="82"/>
      <c r="G93" s="79"/>
      <c r="H93" s="79"/>
      <c r="I93" s="79"/>
      <c r="J93" s="79"/>
      <c r="K93" s="79"/>
      <c r="L93" s="79"/>
      <c r="M93" s="81"/>
      <c r="N93" s="25"/>
      <c r="O93" s="44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" x14ac:dyDescent="0.35">
      <c r="A94" s="60">
        <f>Лист1!Q$3</f>
        <v>11.6</v>
      </c>
      <c r="B94" s="27">
        <f>Лист1!Q$9</f>
        <v>1013.8860353634578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0.94547464203128906</v>
      </c>
      <c r="D94" s="15">
        <f>C94-E94</f>
        <v>0.94547464203128906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122</v>
      </c>
      <c r="J94" s="82">
        <v>109.9</v>
      </c>
      <c r="K94" s="82">
        <v>109.9</v>
      </c>
      <c r="L94" s="82">
        <v>109.9</v>
      </c>
      <c r="M94" s="82">
        <v>109.9</v>
      </c>
      <c r="N94" s="163">
        <v>96.527319335937591</v>
      </c>
      <c r="O94" s="45"/>
      <c r="P94" s="38"/>
      <c r="Q94" s="38"/>
      <c r="R94" s="39"/>
      <c r="S94" s="102"/>
      <c r="T94" s="102"/>
      <c r="U94" s="102"/>
      <c r="V94" s="171"/>
      <c r="W94" s="28">
        <f>SUM(F94:T94)</f>
        <v>1024.1273193359375</v>
      </c>
      <c r="X94" s="135">
        <v>84</v>
      </c>
      <c r="Y94" s="135">
        <v>8</v>
      </c>
      <c r="Z94" s="39">
        <v>48.1273193359375</v>
      </c>
      <c r="AA94" s="39">
        <v>26.8726806640625</v>
      </c>
      <c r="AB94" s="135">
        <v>3</v>
      </c>
      <c r="AC94" s="135">
        <v>3</v>
      </c>
      <c r="AD94" s="135">
        <v>2</v>
      </c>
      <c r="AE94" s="135">
        <v>4</v>
      </c>
      <c r="AF94" s="39">
        <v>12.1</v>
      </c>
    </row>
    <row r="95" spans="1:32" s="12" customFormat="1" ht="18" hidden="1" customHeight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9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0.58603536345788143</v>
      </c>
      <c r="E95" s="32">
        <f t="shared" si="7"/>
        <v>0</v>
      </c>
      <c r="F95" s="81"/>
      <c r="G95" s="81"/>
      <c r="H95" s="81"/>
      <c r="I95" s="81"/>
      <c r="J95" s="81"/>
      <c r="K95" s="81"/>
      <c r="L95" s="81"/>
      <c r="M95" s="79"/>
      <c r="N95" s="156"/>
      <c r="O95" s="161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" hidden="1" customHeight="1" x14ac:dyDescent="0.35">
      <c r="A96" s="60"/>
      <c r="B96" s="27"/>
      <c r="C96" s="22"/>
      <c r="D96" s="22"/>
      <c r="E96" s="32">
        <f t="shared" si="7"/>
        <v>0</v>
      </c>
      <c r="F96" s="82"/>
      <c r="G96" s="79"/>
      <c r="H96" s="79"/>
      <c r="I96" s="79"/>
      <c r="J96" s="79"/>
      <c r="K96" s="79"/>
      <c r="L96" s="79"/>
      <c r="M96" s="81"/>
      <c r="N96" s="25"/>
      <c r="O96" s="44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" x14ac:dyDescent="0.35">
      <c r="A97" s="60">
        <f>Лист1!R$3</f>
        <v>11.8</v>
      </c>
      <c r="B97" s="13">
        <f>Лист1!R$9</f>
        <v>1031.3668290766209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0.27796405660899043</v>
      </c>
      <c r="D97" s="15">
        <f>C97-E97</f>
        <v>0.27796405660899043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109.9</v>
      </c>
      <c r="L97" s="79">
        <v>109.9</v>
      </c>
      <c r="M97" s="79">
        <v>109.9</v>
      </c>
      <c r="N97" s="155">
        <v>102.08466796875007</v>
      </c>
      <c r="O97" s="45"/>
      <c r="P97" s="38"/>
      <c r="Q97" s="38"/>
      <c r="R97" s="39"/>
      <c r="S97" s="102"/>
      <c r="T97" s="102"/>
      <c r="U97" s="102"/>
      <c r="V97" s="41"/>
      <c r="W97" s="17">
        <f>SUM(F97:T97)</f>
        <v>1041.78466796875</v>
      </c>
      <c r="X97" s="135">
        <v>86</v>
      </c>
      <c r="Y97" s="135">
        <v>8</v>
      </c>
      <c r="Z97" s="39">
        <v>65.78466796875</v>
      </c>
      <c r="AA97" s="39">
        <v>9.21533203125</v>
      </c>
      <c r="AB97" s="135">
        <v>1</v>
      </c>
      <c r="AC97" s="135">
        <v>3</v>
      </c>
      <c r="AD97" s="135">
        <v>1</v>
      </c>
      <c r="AE97" s="135">
        <v>3</v>
      </c>
      <c r="AF97" s="39">
        <v>24.2</v>
      </c>
    </row>
    <row r="98" spans="1:35" ht="18" hidden="1" customHeight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9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-6.1331709233791116</v>
      </c>
      <c r="E98" s="32">
        <f t="shared" si="7"/>
        <v>0</v>
      </c>
      <c r="F98" s="81"/>
      <c r="G98" s="81"/>
      <c r="H98" s="81"/>
      <c r="I98" s="81"/>
      <c r="J98" s="81"/>
      <c r="K98" s="81"/>
      <c r="L98" s="81"/>
      <c r="M98" s="81"/>
      <c r="N98" s="156"/>
      <c r="O98" s="161"/>
      <c r="P98" s="21"/>
      <c r="Q98" s="21"/>
      <c r="R98" s="42"/>
      <c r="S98" s="21"/>
      <c r="T98" s="21"/>
      <c r="U98" s="21"/>
      <c r="V98" s="41"/>
      <c r="W98" s="17"/>
    </row>
    <row r="99" spans="1:35" ht="18" hidden="1" customHeight="1" x14ac:dyDescent="0.35">
      <c r="A99" s="60"/>
      <c r="B99" s="13"/>
      <c r="C99" s="22"/>
      <c r="D99" s="22"/>
      <c r="E99" s="32">
        <f t="shared" si="7"/>
        <v>0</v>
      </c>
      <c r="F99" s="82"/>
      <c r="G99" s="79"/>
      <c r="H99" s="79"/>
      <c r="I99" s="79"/>
      <c r="J99" s="79"/>
      <c r="K99" s="79"/>
      <c r="L99" s="79"/>
      <c r="M99" s="79"/>
      <c r="N99" s="25"/>
      <c r="O99" s="44"/>
      <c r="P99" s="38"/>
      <c r="Q99" s="38"/>
      <c r="R99" s="39"/>
      <c r="S99" s="102"/>
      <c r="T99" s="102"/>
      <c r="U99" s="102"/>
      <c r="V99" s="41"/>
      <c r="W99" s="17"/>
    </row>
    <row r="100" spans="1:35" ht="18" x14ac:dyDescent="0.35">
      <c r="A100" s="60">
        <f>Лист1!S$3</f>
        <v>12</v>
      </c>
      <c r="B100" s="13">
        <f>Лист1!S$9</f>
        <v>1048.8476227897841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0.7863509065164922</v>
      </c>
      <c r="D100" s="15">
        <f>C100-E100</f>
        <v>0.7863509065164922</v>
      </c>
      <c r="E100" s="32">
        <f t="shared" si="7"/>
        <v>0</v>
      </c>
      <c r="F100" s="87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122</v>
      </c>
      <c r="L100" s="88">
        <v>122</v>
      </c>
      <c r="M100" s="88">
        <v>109.9</v>
      </c>
      <c r="N100" s="162">
        <v>95.542016601562523</v>
      </c>
      <c r="O100" s="46"/>
      <c r="P100" s="38"/>
      <c r="Q100" s="38"/>
      <c r="R100" s="39"/>
      <c r="S100" s="102"/>
      <c r="T100" s="102"/>
      <c r="U100" s="102"/>
      <c r="V100" s="41"/>
      <c r="W100" s="17">
        <f>SUM(F100:T100)</f>
        <v>1059.4420166015625</v>
      </c>
      <c r="X100" s="135">
        <v>87</v>
      </c>
      <c r="Y100" s="135">
        <v>8</v>
      </c>
      <c r="Z100" s="39">
        <v>83.4420166015625</v>
      </c>
      <c r="AA100" s="141"/>
      <c r="AC100" s="135">
        <v>3</v>
      </c>
      <c r="AD100" s="135">
        <v>1</v>
      </c>
      <c r="AE100" s="135">
        <v>1</v>
      </c>
      <c r="AF100" s="39">
        <v>12.1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9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-0.75237721021585457</v>
      </c>
      <c r="E101" s="129">
        <f>B100</f>
        <v>1048.8476227897841</v>
      </c>
      <c r="F101" s="20">
        <f>C101-F100</f>
        <v>-113</v>
      </c>
      <c r="G101" s="26">
        <f t="shared" ref="G101:M101" si="8">F101-G100</f>
        <v>-235</v>
      </c>
      <c r="H101" s="26">
        <f t="shared" si="8"/>
        <v>-357</v>
      </c>
      <c r="I101" s="26">
        <f t="shared" si="8"/>
        <v>-479</v>
      </c>
      <c r="J101" s="26">
        <f t="shared" si="8"/>
        <v>-601</v>
      </c>
      <c r="K101" s="26">
        <f t="shared" si="8"/>
        <v>-723</v>
      </c>
      <c r="L101" s="26">
        <f t="shared" si="8"/>
        <v>-845</v>
      </c>
      <c r="M101" s="26">
        <f t="shared" si="8"/>
        <v>-954.9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9.5486466739190465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0.66299649882340428</v>
      </c>
      <c r="D103" s="31">
        <f>AVERAGE(D61,D64,D67,D70,D73,D76,D79,D82,D85,D88,D91,D94,D97,D100,)</f>
        <v>0.62932384275989739</v>
      </c>
      <c r="E103" s="31">
        <f>AVERAGE(E61,E64,E67,E70,E73,E76,E79,E82,E85,E88,E91,E94,E97,E100,)</f>
        <v>3.3672656063507014E-2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399999999999999" x14ac:dyDescent="0.35">
      <c r="B104" s="30"/>
      <c r="C104" s="31"/>
      <c r="D104" s="31"/>
      <c r="E104" s="31"/>
      <c r="V104" s="38"/>
      <c r="W104" s="40"/>
    </row>
    <row r="105" spans="1:35" ht="17.399999999999999" x14ac:dyDescent="0.35">
      <c r="B105" s="30"/>
      <c r="C105" s="31"/>
      <c r="D105" s="31"/>
      <c r="E105" s="31"/>
      <c r="V105" s="38"/>
      <c r="W105" s="40"/>
    </row>
    <row r="106" spans="1:35" ht="17.399999999999999" x14ac:dyDescent="0.35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O107" s="153"/>
      <c r="P107" s="153"/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152"/>
      <c r="P108" s="93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210">
        <v>9</v>
      </c>
      <c r="O109" s="210">
        <v>10</v>
      </c>
      <c r="P109" s="157"/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211"/>
      <c r="O110" s="211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" x14ac:dyDescent="0.35">
      <c r="A111" s="60">
        <f>Лист1!F$3</f>
        <v>7</v>
      </c>
      <c r="B111" s="13">
        <f>Лист1!F$9</f>
        <v>611.82777996070729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1.1159643586542902</v>
      </c>
      <c r="D111" s="15">
        <f>C111-E111</f>
        <v>1.1159643586542902</v>
      </c>
      <c r="E111" s="32">
        <f>IF(D112 &gt; $D$110,D112/$B111*100,0)</f>
        <v>0</v>
      </c>
      <c r="F111" s="78">
        <v>109.9</v>
      </c>
      <c r="G111" s="79">
        <v>109.9</v>
      </c>
      <c r="H111" s="79">
        <v>97.8</v>
      </c>
      <c r="I111" s="79">
        <v>97.8</v>
      </c>
      <c r="J111" s="79">
        <v>97.8</v>
      </c>
      <c r="K111" s="79">
        <v>104.8078735351562</v>
      </c>
      <c r="L111" s="79"/>
      <c r="M111" s="79"/>
      <c r="N111" s="158"/>
      <c r="O111" s="159"/>
      <c r="P111" s="104"/>
      <c r="Q111" s="104"/>
      <c r="R111" s="104"/>
      <c r="S111" s="104"/>
      <c r="T111" s="104"/>
      <c r="U111" s="104"/>
      <c r="V111" s="41"/>
      <c r="W111" s="17">
        <f>SUM(F111:T111)</f>
        <v>618.00787353515625</v>
      </c>
      <c r="X111" s="96">
        <v>51</v>
      </c>
      <c r="Y111" s="96">
        <v>5</v>
      </c>
      <c r="Z111" s="39">
        <v>8.00787353515625</v>
      </c>
      <c r="AA111" s="97">
        <v>86.99212646484375</v>
      </c>
      <c r="AB111" s="135">
        <v>8</v>
      </c>
      <c r="AC111" s="135">
        <v>2</v>
      </c>
      <c r="AD111" s="135">
        <v>4</v>
      </c>
      <c r="AE111" s="135">
        <v>5</v>
      </c>
    </row>
    <row r="112" spans="1:35" ht="16.5" hidden="1" customHeight="1" x14ac:dyDescent="0.3">
      <c r="A112" s="58"/>
      <c r="B112" s="146"/>
      <c r="C112" s="19">
        <f>$C$58*
(SIGN($F111)+SIGN($G111)+SIGN($H111)+SIGN($I111)
+SIGN($J111)+SIGN($K111)+SIGN($L111)+SIGN($M111)
+SIGN($N111)+SIGN($O111)+SIGN($P111)+SIGN($Q111)
+SIGN($R111)+SIGN($S111)+SIGN($T111)+SIGN($U111))</f>
        <v>6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0.82777996070728932</v>
      </c>
      <c r="E112" s="129">
        <f>B111</f>
        <v>611.82777996070729</v>
      </c>
      <c r="F112" s="78"/>
      <c r="G112" s="79"/>
      <c r="H112" s="79"/>
      <c r="I112" s="79"/>
      <c r="J112" s="79"/>
      <c r="K112" s="79"/>
      <c r="L112" s="79"/>
      <c r="M112" s="79"/>
      <c r="N112" s="154"/>
      <c r="O112" s="160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5" hidden="1" customHeight="1" x14ac:dyDescent="0.3">
      <c r="A113" s="58"/>
      <c r="B113" s="146"/>
      <c r="C113" s="22"/>
      <c r="D113" s="22"/>
      <c r="E113" s="22">
        <f>IF(B111&gt;0,(B111/ROUNDUP(ROUNDUP(((B111-($C$108*ROUNDUP(B111/$H$108,0)))/$C$107),0)/$H$107,0)-$C$108)/$C$107,0-$C$108/$C$107)</f>
        <v>8.3447352611667682</v>
      </c>
      <c r="F113" s="78"/>
      <c r="G113" s="79"/>
      <c r="H113" s="79"/>
      <c r="I113" s="79"/>
      <c r="J113" s="79"/>
      <c r="K113" s="79"/>
      <c r="L113" s="79"/>
      <c r="M113" s="79"/>
      <c r="N113" s="154"/>
      <c r="O113" s="160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" x14ac:dyDescent="0.35">
      <c r="A114" s="60">
        <f>Лист1!G$3</f>
        <v>7.5</v>
      </c>
      <c r="B114" s="13">
        <f>Лист1!G$9</f>
        <v>655.52976424361498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0.32489207352353178</v>
      </c>
      <c r="D114" s="15">
        <f>C114-E114</f>
        <v>0.32489207352353178</v>
      </c>
      <c r="E114" s="32">
        <f>IF(D115 &gt; $D$110,D115/$B114*100,0)</f>
        <v>0</v>
      </c>
      <c r="F114" s="78">
        <v>109.9</v>
      </c>
      <c r="G114" s="79">
        <v>109.9</v>
      </c>
      <c r="H114" s="79">
        <v>109.9</v>
      </c>
      <c r="I114" s="79">
        <v>109.9</v>
      </c>
      <c r="J114" s="79">
        <v>109.9</v>
      </c>
      <c r="K114" s="79">
        <v>112.65130615234375</v>
      </c>
      <c r="L114" s="79"/>
      <c r="M114" s="79"/>
      <c r="N114" s="154"/>
      <c r="O114" s="160"/>
      <c r="P114" s="104"/>
      <c r="Q114" s="104"/>
      <c r="R114" s="104"/>
      <c r="S114" s="104"/>
      <c r="T114" s="104"/>
      <c r="U114" s="104"/>
      <c r="V114" s="41"/>
      <c r="W114" s="17">
        <f>SUM(F114:T114)</f>
        <v>662.15130615234375</v>
      </c>
      <c r="X114" s="96">
        <v>54</v>
      </c>
      <c r="Y114" s="96">
        <v>5</v>
      </c>
      <c r="Z114" s="39">
        <v>52.15130615234375</v>
      </c>
      <c r="AA114" s="97">
        <v>42.84869384765625</v>
      </c>
      <c r="AB114" s="135">
        <v>4</v>
      </c>
      <c r="AC114" s="135">
        <v>2</v>
      </c>
      <c r="AD114" s="135">
        <v>3</v>
      </c>
      <c r="AE114" s="135">
        <v>5</v>
      </c>
      <c r="AF114" s="39">
        <v>12.1</v>
      </c>
    </row>
    <row r="115" spans="1:32" s="12" customFormat="1" ht="16.5" hidden="1" customHeight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6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-3.8702357563850001</v>
      </c>
      <c r="E115" s="129">
        <f>B114</f>
        <v>655.52976424361498</v>
      </c>
      <c r="F115" s="78"/>
      <c r="G115" s="79"/>
      <c r="H115" s="79"/>
      <c r="I115" s="79"/>
      <c r="J115" s="79"/>
      <c r="K115" s="79"/>
      <c r="L115" s="79"/>
      <c r="M115" s="79"/>
      <c r="N115" s="154"/>
      <c r="O115" s="160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5" hidden="1" customHeight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8.9466909675429065</v>
      </c>
      <c r="F116" s="78"/>
      <c r="G116" s="79"/>
      <c r="H116" s="79"/>
      <c r="I116" s="79"/>
      <c r="J116" s="79"/>
      <c r="K116" s="79"/>
      <c r="L116" s="79"/>
      <c r="M116" s="79"/>
      <c r="N116" s="154"/>
      <c r="O116" s="160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" x14ac:dyDescent="0.35">
      <c r="A117" s="60">
        <f>Лист1!H$3</f>
        <v>8</v>
      </c>
      <c r="B117" s="13">
        <f>Лист1!H$9</f>
        <v>699.23174852652267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1.3631744477576713</v>
      </c>
      <c r="D117" s="15">
        <f>C117-E117</f>
        <v>0.85808460680506604</v>
      </c>
      <c r="E117" s="32">
        <f>IF(D118 &gt; $D$110,D118/$B117*100,0)</f>
        <v>0.50508984095260523</v>
      </c>
      <c r="F117" s="78">
        <v>122</v>
      </c>
      <c r="G117" s="79">
        <v>122</v>
      </c>
      <c r="H117" s="79">
        <v>122</v>
      </c>
      <c r="I117" s="79">
        <v>122</v>
      </c>
      <c r="J117" s="79">
        <v>109.9</v>
      </c>
      <c r="K117" s="79">
        <v>108.39467773437502</v>
      </c>
      <c r="L117" s="79"/>
      <c r="M117" s="79"/>
      <c r="N117" s="154"/>
      <c r="O117" s="160"/>
      <c r="P117" s="104"/>
      <c r="Q117" s="104"/>
      <c r="R117" s="104"/>
      <c r="S117" s="104"/>
      <c r="T117" s="104"/>
      <c r="U117" s="104"/>
      <c r="V117" s="41"/>
      <c r="W117" s="17">
        <f>SUM(F117:T117)</f>
        <v>706.294677734375</v>
      </c>
      <c r="X117" s="96">
        <v>58</v>
      </c>
      <c r="Y117" s="96">
        <v>5</v>
      </c>
      <c r="Z117" s="39">
        <v>96.294677734375</v>
      </c>
      <c r="AA117" s="97"/>
      <c r="AB117" s="135"/>
      <c r="AC117" s="135">
        <v>2</v>
      </c>
      <c r="AD117" s="135">
        <v>1</v>
      </c>
      <c r="AE117" s="135">
        <v>1</v>
      </c>
      <c r="AF117" s="39">
        <v>12.1</v>
      </c>
    </row>
    <row r="118" spans="1:32" s="12" customFormat="1" ht="16.5" hidden="1" customHeight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6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3.5317485265227333</v>
      </c>
      <c r="E118" s="129">
        <f>B117</f>
        <v>699.23174852652267</v>
      </c>
      <c r="F118" s="78"/>
      <c r="G118" s="79"/>
      <c r="H118" s="79"/>
      <c r="I118" s="79"/>
      <c r="J118" s="79"/>
      <c r="K118" s="79"/>
      <c r="L118" s="79"/>
      <c r="M118" s="79"/>
      <c r="N118" s="154"/>
      <c r="O118" s="160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5" hidden="1" customHeight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9.5486466739190448</v>
      </c>
      <c r="F119" s="78"/>
      <c r="G119" s="79"/>
      <c r="H119" s="79"/>
      <c r="I119" s="79"/>
      <c r="J119" s="79"/>
      <c r="K119" s="79"/>
      <c r="L119" s="79"/>
      <c r="M119" s="79"/>
      <c r="N119" s="154"/>
      <c r="O119" s="160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" x14ac:dyDescent="0.35">
      <c r="A120" s="60">
        <f>Лист1!I$3</f>
        <v>8.5</v>
      </c>
      <c r="B120" s="13">
        <f>Лист1!I$9</f>
        <v>742.93373280943035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0.65062772034208183</v>
      </c>
      <c r="D120" s="15">
        <f>C120-E120</f>
        <v>0.65062772034208183</v>
      </c>
      <c r="E120" s="32">
        <f>IF(D121 &gt; $D$110,D121/$B120*100,0)</f>
        <v>0</v>
      </c>
      <c r="F120" s="78">
        <v>109.9</v>
      </c>
      <c r="G120" s="79">
        <v>109.9</v>
      </c>
      <c r="H120" s="79">
        <v>109.9</v>
      </c>
      <c r="I120" s="79">
        <v>109.9</v>
      </c>
      <c r="J120" s="79">
        <v>97.8</v>
      </c>
      <c r="K120" s="79">
        <v>97.8</v>
      </c>
      <c r="L120" s="79">
        <v>115.23811035156257</v>
      </c>
      <c r="M120" s="79"/>
      <c r="N120" s="154"/>
      <c r="O120" s="160"/>
      <c r="P120" s="104"/>
      <c r="Q120" s="104"/>
      <c r="R120" s="104"/>
      <c r="S120" s="104"/>
      <c r="T120" s="104"/>
      <c r="U120" s="104"/>
      <c r="V120" s="41"/>
      <c r="W120" s="17">
        <f>SUM(F120:T120)</f>
        <v>750.4381103515625</v>
      </c>
      <c r="X120" s="96">
        <v>62</v>
      </c>
      <c r="Y120" s="96">
        <v>6</v>
      </c>
      <c r="Z120" s="39">
        <v>18.4381103515625</v>
      </c>
      <c r="AA120" s="97">
        <v>76.5618896484375</v>
      </c>
      <c r="AB120" s="135">
        <v>7</v>
      </c>
      <c r="AC120" s="135">
        <v>2</v>
      </c>
      <c r="AD120" s="135">
        <v>4</v>
      </c>
      <c r="AE120" s="135">
        <v>6</v>
      </c>
      <c r="AF120" s="39">
        <v>12.1</v>
      </c>
    </row>
    <row r="121" spans="1:32" s="12" customFormat="1" ht="16.5" hidden="1" customHeight="1" x14ac:dyDescent="0.3">
      <c r="A121" s="58"/>
      <c r="B121" s="145"/>
      <c r="C121" s="19">
        <f>$C$58*
(SIGN($F120)+SIGN($G120)+SIGN($H120)+SIGN($I120)
+SIGN($J120)+SIGN($K120)+SIGN($L120)+SIGN($M120)
+SIGN($N120)+SIGN($O120)+SIGN($P120)+SIGN($Q120)
+SIGN($R120)+SIGN($S120)+SIGN($T120)+SIGN($U120))</f>
        <v>7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-2.1662671905696698</v>
      </c>
      <c r="E121" s="129">
        <f>B120</f>
        <v>742.93373280943035</v>
      </c>
      <c r="F121" s="78"/>
      <c r="G121" s="79"/>
      <c r="H121" s="79"/>
      <c r="I121" s="79"/>
      <c r="J121" s="79"/>
      <c r="K121" s="79"/>
      <c r="L121" s="79"/>
      <c r="M121" s="79"/>
      <c r="N121" s="154"/>
      <c r="O121" s="160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5" hidden="1" customHeight="1" x14ac:dyDescent="0.3">
      <c r="A122" s="58"/>
      <c r="B122" s="145"/>
      <c r="C122" s="22"/>
      <c r="D122" s="22"/>
      <c r="E122" s="22">
        <f>IF(B120&gt;0,(B120/ROUNDUP(ROUNDUP(((B120-($C$108*ROUNDUP(B120/$H$108,0)))/$C$107),0)/$H$107,0)-$C$108)/$C$107,0-$C$108/$C$107)</f>
        <v>8.6887099505245615</v>
      </c>
      <c r="F122" s="78"/>
      <c r="G122" s="79"/>
      <c r="H122" s="79"/>
      <c r="I122" s="79"/>
      <c r="J122" s="79"/>
      <c r="K122" s="79"/>
      <c r="L122" s="79"/>
      <c r="M122" s="79"/>
      <c r="N122" s="154"/>
      <c r="O122" s="160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" x14ac:dyDescent="0.35">
      <c r="A123" s="60">
        <f>Лист1!J$3</f>
        <v>9</v>
      </c>
      <c r="B123" s="13">
        <f>Лист1!J$9</f>
        <v>786.63571709233804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1.7252851528239202E-2</v>
      </c>
      <c r="D123" s="15">
        <f>C123-E123</f>
        <v>1.7252851528239202E-2</v>
      </c>
      <c r="E123" s="32">
        <f>IF(D124 &gt; $D$110,D124/$B123*100,0)</f>
        <v>0</v>
      </c>
      <c r="F123" s="78">
        <v>122</v>
      </c>
      <c r="G123" s="79">
        <v>122</v>
      </c>
      <c r="H123" s="79">
        <v>109.9</v>
      </c>
      <c r="I123" s="79">
        <v>109.9</v>
      </c>
      <c r="J123" s="79">
        <v>109.9</v>
      </c>
      <c r="K123" s="79">
        <v>109.9</v>
      </c>
      <c r="L123" s="79">
        <v>110.98154296875009</v>
      </c>
      <c r="M123" s="79"/>
      <c r="N123" s="155"/>
      <c r="O123" s="45"/>
      <c r="P123" s="38"/>
      <c r="Q123" s="38"/>
      <c r="R123" s="39"/>
      <c r="S123" s="102"/>
      <c r="T123" s="102"/>
      <c r="U123" s="102"/>
      <c r="V123" s="41"/>
      <c r="W123" s="17">
        <f>SUM(F123:T123)</f>
        <v>794.58154296875</v>
      </c>
      <c r="X123" s="135">
        <v>65</v>
      </c>
      <c r="Y123" s="135">
        <v>6</v>
      </c>
      <c r="Z123" s="39">
        <v>62.58154296875</v>
      </c>
      <c r="AA123" s="39">
        <v>32.41845703125</v>
      </c>
      <c r="AB123" s="135">
        <v>3</v>
      </c>
      <c r="AC123" s="135">
        <v>2</v>
      </c>
      <c r="AD123" s="135">
        <v>2</v>
      </c>
      <c r="AE123" s="135">
        <v>4</v>
      </c>
      <c r="AF123" s="39">
        <v>12.1</v>
      </c>
    </row>
    <row r="124" spans="1:32" s="12" customFormat="1" ht="16.5" hidden="1" customHeight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7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-6.8642829076619591</v>
      </c>
      <c r="E124" s="129">
        <f>B123</f>
        <v>786.63571709233804</v>
      </c>
      <c r="F124" s="81"/>
      <c r="G124" s="81"/>
      <c r="H124" s="81"/>
      <c r="I124" s="81"/>
      <c r="J124" s="81"/>
      <c r="K124" s="81"/>
      <c r="L124" s="81"/>
      <c r="M124" s="79"/>
      <c r="N124" s="156"/>
      <c r="O124" s="161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5" hidden="1" customHeight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9.2046719845612532</v>
      </c>
      <c r="F125" s="82"/>
      <c r="G125" s="79"/>
      <c r="H125" s="79"/>
      <c r="I125" s="79"/>
      <c r="J125" s="79"/>
      <c r="K125" s="79"/>
      <c r="L125" s="83"/>
      <c r="M125" s="81"/>
      <c r="N125" s="25"/>
      <c r="O125" s="4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" x14ac:dyDescent="0.35">
      <c r="A126" s="60">
        <f>Лист1!K$3</f>
        <v>9.5</v>
      </c>
      <c r="B126" s="13">
        <f>Лист1!K$9</f>
        <v>830.33770137524562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0.90778744151462154</v>
      </c>
      <c r="D126" s="15">
        <f>C126-E126</f>
        <v>0.90778744151462154</v>
      </c>
      <c r="E126" s="32">
        <f>IF(D127 &gt; $D$110,D127/$B126*100,0)</f>
        <v>0</v>
      </c>
      <c r="F126" s="78">
        <v>122</v>
      </c>
      <c r="G126" s="79">
        <v>122</v>
      </c>
      <c r="H126" s="79">
        <v>122</v>
      </c>
      <c r="I126" s="79">
        <v>122</v>
      </c>
      <c r="J126" s="79">
        <v>122</v>
      </c>
      <c r="K126" s="79">
        <v>122</v>
      </c>
      <c r="L126" s="79">
        <v>106.7249755859375</v>
      </c>
      <c r="M126" s="79"/>
      <c r="N126" s="155"/>
      <c r="O126" s="45"/>
      <c r="P126" s="38"/>
      <c r="Q126" s="38"/>
      <c r="R126" s="39"/>
      <c r="S126" s="102"/>
      <c r="T126" s="102"/>
      <c r="U126" s="102"/>
      <c r="V126" s="41"/>
      <c r="W126" s="17">
        <f>SUM(F126:T126)</f>
        <v>838.7249755859375</v>
      </c>
      <c r="X126" s="135">
        <v>69</v>
      </c>
      <c r="Y126" s="135">
        <v>6</v>
      </c>
      <c r="Z126" s="39">
        <v>106.7249755859375</v>
      </c>
      <c r="AA126" s="39"/>
      <c r="AB126" s="135"/>
      <c r="AC126" s="135"/>
      <c r="AD126" s="135"/>
      <c r="AE126" s="135"/>
      <c r="AF126" s="39"/>
    </row>
    <row r="127" spans="1:32" s="12" customFormat="1" ht="16.5" hidden="1" customHeight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7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0.53770137524566053</v>
      </c>
      <c r="E127" s="129">
        <f>B126</f>
        <v>830.33770137524562</v>
      </c>
      <c r="F127" s="81"/>
      <c r="G127" s="81"/>
      <c r="H127" s="81"/>
      <c r="I127" s="81"/>
      <c r="J127" s="81"/>
      <c r="K127" s="81"/>
      <c r="L127" s="81"/>
      <c r="M127" s="79"/>
      <c r="N127" s="156"/>
      <c r="O127" s="161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5" hidden="1" customHeight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9.7206340185979414</v>
      </c>
      <c r="F128" s="82"/>
      <c r="G128" s="79"/>
      <c r="H128" s="79"/>
      <c r="I128" s="79"/>
      <c r="J128" s="79"/>
      <c r="K128" s="79"/>
      <c r="L128" s="83"/>
      <c r="M128" s="81"/>
      <c r="N128" s="25"/>
      <c r="O128" s="4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" x14ac:dyDescent="0.35">
      <c r="A129" s="60">
        <f>Лист1!L$3</f>
        <v>10</v>
      </c>
      <c r="B129" s="13">
        <f>Лист1!L$9</f>
        <v>874.0396856581533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0.32489207352353611</v>
      </c>
      <c r="D129" s="15">
        <f>C129-E129</f>
        <v>0.32489207352353611</v>
      </c>
      <c r="E129" s="32">
        <f>IF(D130 &gt; $D$110,D130/$B129*100,0)</f>
        <v>0</v>
      </c>
      <c r="F129" s="78">
        <v>109.9</v>
      </c>
      <c r="G129" s="79">
        <v>109.9</v>
      </c>
      <c r="H129" s="79">
        <v>109.9</v>
      </c>
      <c r="I129" s="79">
        <v>109.9</v>
      </c>
      <c r="J129" s="79">
        <v>109.9</v>
      </c>
      <c r="K129" s="79">
        <v>109.9</v>
      </c>
      <c r="L129" s="79">
        <v>109.9</v>
      </c>
      <c r="M129" s="79">
        <v>113.5683471679688</v>
      </c>
      <c r="N129" s="155"/>
      <c r="O129" s="45"/>
      <c r="P129" s="38"/>
      <c r="Q129" s="38"/>
      <c r="R129" s="39"/>
      <c r="S129" s="102"/>
      <c r="T129" s="102"/>
      <c r="U129" s="102"/>
      <c r="V129" s="41"/>
      <c r="W129" s="17">
        <f>SUM(F129:T129)</f>
        <v>882.86834716796875</v>
      </c>
      <c r="X129" s="135">
        <v>72</v>
      </c>
      <c r="Y129" s="135">
        <v>7</v>
      </c>
      <c r="Z129" s="39">
        <v>28.86834716796875</v>
      </c>
      <c r="AA129" s="39">
        <v>66.13165283203125</v>
      </c>
      <c r="AB129" s="135">
        <v>6</v>
      </c>
      <c r="AC129" s="135">
        <v>2</v>
      </c>
      <c r="AD129" s="135">
        <v>4</v>
      </c>
      <c r="AE129" s="135">
        <v>7</v>
      </c>
      <c r="AF129" s="39">
        <v>12.1</v>
      </c>
    </row>
    <row r="130" spans="1:32" s="12" customFormat="1" ht="18" hidden="1" customHeight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8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-5.1603143418466288</v>
      </c>
      <c r="E130" s="129">
        <f>B129</f>
        <v>874.0396856581533</v>
      </c>
      <c r="F130" s="81"/>
      <c r="G130" s="81"/>
      <c r="H130" s="81"/>
      <c r="I130" s="81"/>
      <c r="J130" s="81"/>
      <c r="K130" s="81"/>
      <c r="L130" s="81"/>
      <c r="M130" s="79"/>
      <c r="N130" s="156"/>
      <c r="O130" s="161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" hidden="1" customHeight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8.9466909675429065</v>
      </c>
      <c r="F131" s="82"/>
      <c r="G131" s="79"/>
      <c r="H131" s="79"/>
      <c r="I131" s="79"/>
      <c r="J131" s="79"/>
      <c r="K131" s="79"/>
      <c r="L131" s="83"/>
      <c r="M131" s="81"/>
      <c r="N131" s="25"/>
      <c r="O131" s="4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" x14ac:dyDescent="0.35">
      <c r="A132" s="60">
        <f>Лист1!M$3</f>
        <v>10.5</v>
      </c>
      <c r="B132" s="13">
        <f>Лист1!M$9</f>
        <v>917.74166994106099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1.1159643586542964</v>
      </c>
      <c r="D132" s="15">
        <f>C132-E132</f>
        <v>1.1159643586542964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122</v>
      </c>
      <c r="J132" s="79">
        <v>109.9</v>
      </c>
      <c r="K132" s="79">
        <v>109.9</v>
      </c>
      <c r="L132" s="79">
        <v>109.9</v>
      </c>
      <c r="M132" s="79">
        <v>109.31177978515632</v>
      </c>
      <c r="N132" s="155"/>
      <c r="O132" s="45"/>
      <c r="P132" s="38"/>
      <c r="Q132" s="38"/>
      <c r="R132" s="39"/>
      <c r="S132" s="102"/>
      <c r="T132" s="102"/>
      <c r="U132" s="102"/>
      <c r="V132" s="41"/>
      <c r="W132" s="17">
        <f>SUM(F132:T132)</f>
        <v>927.01177978515625</v>
      </c>
      <c r="X132" s="135">
        <v>76</v>
      </c>
      <c r="Y132" s="135">
        <v>7</v>
      </c>
      <c r="Z132" s="39">
        <v>73.01177978515625</v>
      </c>
      <c r="AA132" s="39">
        <v>21.98822021484375</v>
      </c>
      <c r="AB132" s="135">
        <v>2</v>
      </c>
      <c r="AC132" s="135">
        <v>2</v>
      </c>
      <c r="AD132" s="135">
        <v>2</v>
      </c>
      <c r="AE132" s="135">
        <v>3</v>
      </c>
      <c r="AF132" s="39">
        <v>12.1</v>
      </c>
    </row>
    <row r="133" spans="1:32" s="12" customFormat="1" ht="18" hidden="1" customHeight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8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2.2416699410609908</v>
      </c>
      <c r="E133" s="129">
        <f>B132</f>
        <v>917.74166994106099</v>
      </c>
      <c r="F133" s="81"/>
      <c r="G133" s="81"/>
      <c r="H133" s="81"/>
      <c r="I133" s="81"/>
      <c r="J133" s="81"/>
      <c r="K133" s="81"/>
      <c r="L133" s="81"/>
      <c r="M133" s="79"/>
      <c r="N133" s="156"/>
      <c r="O133" s="161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" hidden="1" customHeight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9.3981577473250102</v>
      </c>
      <c r="F134" s="82"/>
      <c r="G134" s="79"/>
      <c r="H134" s="79"/>
      <c r="I134" s="79"/>
      <c r="J134" s="79"/>
      <c r="K134" s="79"/>
      <c r="L134" s="79"/>
      <c r="M134" s="81"/>
      <c r="N134" s="25"/>
      <c r="O134" s="44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" x14ac:dyDescent="0.35">
      <c r="A135" s="60">
        <f>Лист1!N$3</f>
        <v>11</v>
      </c>
      <c r="B135" s="13">
        <f>Лист1!N$9</f>
        <v>961.44365422396868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0.57659689151968807</v>
      </c>
      <c r="D135" s="15">
        <f>C135-E135</f>
        <v>0.57659689151968807</v>
      </c>
      <c r="E135" s="32">
        <f>IF(D136 &gt; $D$110,D136/$B135*100,0)</f>
        <v>0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109.9</v>
      </c>
      <c r="M135" s="79">
        <v>97.8</v>
      </c>
      <c r="N135" s="155">
        <v>104.05521240234384</v>
      </c>
      <c r="O135" s="45"/>
      <c r="P135" s="38"/>
      <c r="Q135" s="38"/>
      <c r="R135" s="39"/>
      <c r="S135" s="102"/>
      <c r="T135" s="102"/>
      <c r="U135" s="102"/>
      <c r="V135" s="41"/>
      <c r="W135" s="17">
        <f>SUM(F135:T135)</f>
        <v>971.15521240234375</v>
      </c>
      <c r="X135" s="135">
        <v>80</v>
      </c>
      <c r="Y135" s="135">
        <v>8</v>
      </c>
      <c r="Z135" s="39">
        <v>-4.84478759765625</v>
      </c>
      <c r="AA135" s="39">
        <v>99.84478759765625</v>
      </c>
      <c r="AB135" s="135">
        <v>9</v>
      </c>
      <c r="AC135" s="135">
        <v>2</v>
      </c>
      <c r="AD135" s="135">
        <v>5</v>
      </c>
      <c r="AE135" s="135">
        <v>8</v>
      </c>
      <c r="AF135" s="39"/>
    </row>
    <row r="136" spans="1:32" s="12" customFormat="1" ht="18" hidden="1" customHeight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9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-3.4563457760312986</v>
      </c>
      <c r="E136" s="129">
        <f>B135</f>
        <v>961.44365422396868</v>
      </c>
      <c r="F136" s="81"/>
      <c r="G136" s="81"/>
      <c r="H136" s="81"/>
      <c r="I136" s="81"/>
      <c r="J136" s="81"/>
      <c r="K136" s="81"/>
      <c r="L136" s="81"/>
      <c r="M136" s="79"/>
      <c r="N136" s="156"/>
      <c r="O136" s="161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" hidden="1" customHeight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9.8496245271071139</v>
      </c>
      <c r="F137" s="82"/>
      <c r="G137" s="79"/>
      <c r="H137" s="79"/>
      <c r="I137" s="79"/>
      <c r="J137" s="79"/>
      <c r="K137" s="79"/>
      <c r="L137" s="79"/>
      <c r="M137" s="81"/>
      <c r="N137" s="25"/>
      <c r="O137" s="44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" x14ac:dyDescent="0.35">
      <c r="A138" s="60">
        <f>Лист1!O$3</f>
        <v>11.2</v>
      </c>
      <c r="B138" s="13">
        <f>Лист1!O$9</f>
        <v>978.92444793713162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1.1159643586542856</v>
      </c>
      <c r="D138" s="15">
        <f>C138-E138</f>
        <v>1.1159643586542856</v>
      </c>
      <c r="E138" s="32">
        <f>IF(D139 &gt; $D$110,D139/$B138*100,0)</f>
        <v>0</v>
      </c>
      <c r="F138" s="78">
        <v>109.9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109.9</v>
      </c>
      <c r="L138" s="79">
        <v>109.9</v>
      </c>
      <c r="M138" s="79">
        <v>109.9</v>
      </c>
      <c r="N138" s="155">
        <v>109.61256103515632</v>
      </c>
      <c r="O138" s="45"/>
      <c r="P138" s="38"/>
      <c r="Q138" s="38"/>
      <c r="R138" s="39"/>
      <c r="S138" s="102"/>
      <c r="T138" s="102"/>
      <c r="U138" s="102"/>
      <c r="V138" s="41"/>
      <c r="W138" s="17">
        <f>SUM(F138:T138)</f>
        <v>988.81256103515625</v>
      </c>
      <c r="X138" s="135">
        <v>81</v>
      </c>
      <c r="Y138" s="135">
        <v>8</v>
      </c>
      <c r="Z138" s="39">
        <v>12.81256103515625</v>
      </c>
      <c r="AA138" s="39">
        <v>82.18743896484375</v>
      </c>
      <c r="AB138" s="135">
        <v>7</v>
      </c>
      <c r="AC138" s="135">
        <v>2</v>
      </c>
      <c r="AD138" s="135">
        <v>4</v>
      </c>
      <c r="AE138" s="135">
        <v>8</v>
      </c>
      <c r="AF138" s="39">
        <v>12.1</v>
      </c>
    </row>
    <row r="139" spans="1:32" s="12" customFormat="1" ht="18" hidden="1" customHeight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9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1.9244479371316174</v>
      </c>
      <c r="E139" s="129">
        <f>B138</f>
        <v>978.92444793713162</v>
      </c>
      <c r="F139" s="81"/>
      <c r="G139" s="81"/>
      <c r="H139" s="81"/>
      <c r="I139" s="81"/>
      <c r="J139" s="81"/>
      <c r="K139" s="81"/>
      <c r="L139" s="81"/>
      <c r="M139" s="79"/>
      <c r="N139" s="156"/>
      <c r="O139" s="161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" hidden="1" customHeight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8.9065605871178306</v>
      </c>
      <c r="F140" s="82"/>
      <c r="G140" s="79"/>
      <c r="H140" s="79"/>
      <c r="I140" s="79"/>
      <c r="J140" s="79"/>
      <c r="K140" s="79"/>
      <c r="L140" s="79"/>
      <c r="M140" s="81"/>
      <c r="N140" s="25"/>
      <c r="O140" s="44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" x14ac:dyDescent="0.35">
      <c r="A141" s="60">
        <f>Лист1!P$3</f>
        <v>11.4</v>
      </c>
      <c r="B141" s="13">
        <f>Лист1!P$9</f>
        <v>996.40524165029478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0.42204130152205205</v>
      </c>
      <c r="D141" s="15">
        <f>C141-E141</f>
        <v>0.42204130152205205</v>
      </c>
      <c r="E141" s="32">
        <f>IF(D142 &gt; $D$110,D142/$B141*100,0)</f>
        <v>0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109.9</v>
      </c>
      <c r="K141" s="79">
        <v>109.9</v>
      </c>
      <c r="L141" s="79">
        <v>109.9</v>
      </c>
      <c r="M141" s="79">
        <v>109.9</v>
      </c>
      <c r="N141" s="155">
        <v>115.16997070312505</v>
      </c>
      <c r="O141" s="45"/>
      <c r="P141" s="38"/>
      <c r="Q141" s="38"/>
      <c r="R141" s="39"/>
      <c r="S141" s="102"/>
      <c r="T141" s="102"/>
      <c r="U141" s="102"/>
      <c r="V141" s="41"/>
      <c r="W141" s="17">
        <f>SUM(F141:T141)</f>
        <v>1006.469970703125</v>
      </c>
      <c r="X141" s="135">
        <v>83</v>
      </c>
      <c r="Y141" s="135">
        <v>8</v>
      </c>
      <c r="Z141" s="39">
        <v>30.469970703125</v>
      </c>
      <c r="AA141" s="39">
        <v>64.530029296875</v>
      </c>
      <c r="AB141" s="135">
        <v>6</v>
      </c>
      <c r="AC141" s="135">
        <v>2</v>
      </c>
      <c r="AD141" s="135">
        <v>4</v>
      </c>
      <c r="AE141" s="135">
        <v>7</v>
      </c>
      <c r="AF141" s="39">
        <v>12.1</v>
      </c>
    </row>
    <row r="142" spans="1:32" s="12" customFormat="1" ht="18" hidden="1" customHeight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9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-4.7947583497051482</v>
      </c>
      <c r="E142" s="129">
        <f>B141</f>
        <v>996.40524165029478</v>
      </c>
      <c r="F142" s="81"/>
      <c r="G142" s="81"/>
      <c r="H142" s="81"/>
      <c r="I142" s="81"/>
      <c r="J142" s="81"/>
      <c r="K142" s="81"/>
      <c r="L142" s="81"/>
      <c r="M142" s="79"/>
      <c r="N142" s="156"/>
      <c r="O142" s="161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" hidden="1" customHeight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9.0670821088181341</v>
      </c>
      <c r="F143" s="82"/>
      <c r="G143" s="79"/>
      <c r="H143" s="79"/>
      <c r="I143" s="79"/>
      <c r="J143" s="79"/>
      <c r="K143" s="79"/>
      <c r="L143" s="79"/>
      <c r="M143" s="81"/>
      <c r="N143" s="25"/>
      <c r="O143" s="44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" x14ac:dyDescent="0.35">
      <c r="A144" s="60">
        <f>Лист1!Q$3</f>
        <v>11.6</v>
      </c>
      <c r="B144" s="27">
        <f>Лист1!Q$9</f>
        <v>1013.8860353634578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0.94547464203128906</v>
      </c>
      <c r="D144" s="15">
        <f>C144-E144</f>
        <v>0.94547464203128906</v>
      </c>
      <c r="E144" s="32">
        <f>IF(D145 &gt; $D$110,D145/$B144*100,0)</f>
        <v>0</v>
      </c>
      <c r="F144" s="85">
        <v>122</v>
      </c>
      <c r="G144" s="82">
        <v>122</v>
      </c>
      <c r="H144" s="82">
        <v>122</v>
      </c>
      <c r="I144" s="82">
        <v>109.9</v>
      </c>
      <c r="J144" s="82">
        <v>109.9</v>
      </c>
      <c r="K144" s="82">
        <v>109.9</v>
      </c>
      <c r="L144" s="82">
        <v>109.9</v>
      </c>
      <c r="M144" s="82">
        <v>109.9</v>
      </c>
      <c r="N144" s="163">
        <v>108.62731933593761</v>
      </c>
      <c r="O144" s="45"/>
      <c r="P144" s="38"/>
      <c r="Q144" s="38"/>
      <c r="R144" s="39"/>
      <c r="S144" s="102"/>
      <c r="T144" s="102"/>
      <c r="U144" s="102"/>
      <c r="V144" s="171"/>
      <c r="W144" s="28">
        <f>SUM(F144:T144)</f>
        <v>1024.1273193359375</v>
      </c>
      <c r="X144" s="135">
        <v>84</v>
      </c>
      <c r="Y144" s="135">
        <v>8</v>
      </c>
      <c r="Z144" s="39">
        <v>48.1273193359375</v>
      </c>
      <c r="AA144" s="39">
        <v>46.8726806640625</v>
      </c>
      <c r="AB144" s="135">
        <v>4</v>
      </c>
      <c r="AC144" s="135">
        <v>2</v>
      </c>
      <c r="AD144" s="135">
        <v>3</v>
      </c>
      <c r="AE144" s="135">
        <v>5</v>
      </c>
      <c r="AF144" s="39">
        <v>12.1</v>
      </c>
    </row>
    <row r="145" spans="1:32" s="12" customFormat="1" ht="18" hidden="1" customHeight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9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0.58603536345788143</v>
      </c>
      <c r="E145" s="129">
        <f>B144</f>
        <v>1013.8860353634578</v>
      </c>
      <c r="F145" s="81"/>
      <c r="G145" s="81"/>
      <c r="H145" s="81"/>
      <c r="I145" s="81"/>
      <c r="J145" s="81"/>
      <c r="K145" s="81"/>
      <c r="L145" s="81"/>
      <c r="M145" s="79"/>
      <c r="N145" s="156"/>
      <c r="O145" s="161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" hidden="1" customHeight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9.2276036305184377</v>
      </c>
      <c r="F146" s="82"/>
      <c r="G146" s="79"/>
      <c r="H146" s="79"/>
      <c r="I146" s="79"/>
      <c r="J146" s="79"/>
      <c r="K146" s="79"/>
      <c r="L146" s="79"/>
      <c r="M146" s="81"/>
      <c r="N146" s="25"/>
      <c r="O146" s="44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" x14ac:dyDescent="0.35">
      <c r="A147" s="60">
        <f>Лист1!R$3</f>
        <v>11.8</v>
      </c>
      <c r="B147" s="13">
        <f>Лист1!R$9</f>
        <v>1031.3668290766209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0.27796405660899043</v>
      </c>
      <c r="D147" s="15">
        <f>C147-E147</f>
        <v>0.27796405660899043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122</v>
      </c>
      <c r="J147" s="79">
        <v>109.9</v>
      </c>
      <c r="K147" s="79">
        <v>109.9</v>
      </c>
      <c r="L147" s="79">
        <v>109.9</v>
      </c>
      <c r="M147" s="79">
        <v>109.9</v>
      </c>
      <c r="N147" s="155">
        <v>114.18466796875009</v>
      </c>
      <c r="O147" s="45"/>
      <c r="P147" s="38"/>
      <c r="Q147" s="38"/>
      <c r="R147" s="39"/>
      <c r="S147" s="102"/>
      <c r="T147" s="102"/>
      <c r="U147" s="102"/>
      <c r="V147" s="41"/>
      <c r="W147" s="17">
        <f>SUM(F147:T147)</f>
        <v>1041.78466796875</v>
      </c>
      <c r="X147" s="135">
        <v>86</v>
      </c>
      <c r="Y147" s="135">
        <v>8</v>
      </c>
      <c r="Z147" s="39">
        <v>65.78466796875</v>
      </c>
      <c r="AA147" s="39">
        <v>29.21533203125</v>
      </c>
      <c r="AB147" s="135">
        <v>3</v>
      </c>
      <c r="AC147" s="135">
        <v>2</v>
      </c>
      <c r="AD147" s="135">
        <v>2</v>
      </c>
      <c r="AE147" s="135">
        <v>4</v>
      </c>
      <c r="AF147" s="39">
        <v>12.1</v>
      </c>
    </row>
    <row r="148" spans="1:32" s="12" customFormat="1" ht="18" hidden="1" customHeight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9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-6.1331709233791116</v>
      </c>
      <c r="E148" s="129">
        <f>B147</f>
        <v>1031.3668290766209</v>
      </c>
      <c r="F148" s="81"/>
      <c r="G148" s="81"/>
      <c r="H148" s="81"/>
      <c r="I148" s="81"/>
      <c r="J148" s="81"/>
      <c r="K148" s="81"/>
      <c r="L148" s="81"/>
      <c r="M148" s="81"/>
      <c r="N148" s="156"/>
      <c r="O148" s="161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" hidden="1" customHeight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9.3881251522187412</v>
      </c>
      <c r="F149" s="82"/>
      <c r="G149" s="79"/>
      <c r="H149" s="79"/>
      <c r="I149" s="79"/>
      <c r="J149" s="79"/>
      <c r="K149" s="79"/>
      <c r="L149" s="79"/>
      <c r="M149" s="79"/>
      <c r="N149" s="25"/>
      <c r="O149" s="44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" x14ac:dyDescent="0.35">
      <c r="A150" s="60">
        <f>Лист1!S$3</f>
        <v>12</v>
      </c>
      <c r="B150" s="13">
        <f>Лист1!S$9</f>
        <v>1048.8476227897841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0.7863509065164922</v>
      </c>
      <c r="D150" s="15">
        <f>C150-E150</f>
        <v>0.7863509065164922</v>
      </c>
      <c r="E150" s="32">
        <f>IF(D151 &gt; $D$110,D151/$B150*100,0)</f>
        <v>0</v>
      </c>
      <c r="F150" s="87">
        <v>122</v>
      </c>
      <c r="G150" s="88">
        <v>122</v>
      </c>
      <c r="H150" s="88">
        <v>122</v>
      </c>
      <c r="I150" s="88">
        <v>122</v>
      </c>
      <c r="J150" s="88">
        <v>122</v>
      </c>
      <c r="K150" s="88">
        <v>122</v>
      </c>
      <c r="L150" s="88">
        <v>109.9</v>
      </c>
      <c r="M150" s="88">
        <v>109.9</v>
      </c>
      <c r="N150" s="162">
        <v>107.64201660156255</v>
      </c>
      <c r="O150" s="46"/>
      <c r="P150" s="38"/>
      <c r="Q150" s="38"/>
      <c r="R150" s="39"/>
      <c r="S150" s="102"/>
      <c r="T150" s="102"/>
      <c r="U150" s="102"/>
      <c r="V150" s="41"/>
      <c r="W150" s="17">
        <f>SUM(F150:T150)</f>
        <v>1059.4420166015625</v>
      </c>
      <c r="X150" s="135">
        <v>87</v>
      </c>
      <c r="Y150" s="135">
        <v>8</v>
      </c>
      <c r="Z150" s="39">
        <v>83.4420166015625</v>
      </c>
      <c r="AA150" s="141">
        <v>11.5579833984375</v>
      </c>
      <c r="AB150" s="135">
        <v>1</v>
      </c>
      <c r="AC150" s="135">
        <v>2</v>
      </c>
      <c r="AD150" s="135">
        <v>1</v>
      </c>
      <c r="AE150" s="135">
        <v>2</v>
      </c>
      <c r="AF150" s="39">
        <v>12.1</v>
      </c>
    </row>
    <row r="151" spans="1:32" s="12" customFormat="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9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-0.75237721021585457</v>
      </c>
      <c r="E151" s="129">
        <f>B150</f>
        <v>1048.8476227897841</v>
      </c>
      <c r="F151" s="20">
        <f>C151-F150</f>
        <v>-113</v>
      </c>
      <c r="G151" s="26">
        <f t="shared" ref="G151:M151" si="11">F151-G150</f>
        <v>-235</v>
      </c>
      <c r="H151" s="26">
        <f t="shared" si="11"/>
        <v>-357</v>
      </c>
      <c r="I151" s="26">
        <f t="shared" si="11"/>
        <v>-479</v>
      </c>
      <c r="J151" s="26">
        <f t="shared" si="11"/>
        <v>-601</v>
      </c>
      <c r="K151" s="26">
        <f t="shared" si="11"/>
        <v>-723</v>
      </c>
      <c r="L151" s="26">
        <f t="shared" si="11"/>
        <v>-832.9</v>
      </c>
      <c r="M151" s="26">
        <f t="shared" si="11"/>
        <v>-942.8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9.5486466739190465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0.66299649882340428</v>
      </c>
      <c r="D153" s="31">
        <f>AVERAGE(D111,D114,D117,D120,D123,D126,D129,D132,D135,D138,D141,D144,D147,D150,)</f>
        <v>0.62932384275989739</v>
      </c>
      <c r="E153" s="31">
        <f>AVERAGE(E111,E114,E117,E120,E123,E126,E129,E132,E135,E138,E141,E144,E147,E150,)</f>
        <v>3.3672656063507014E-2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sheetProtection formatCells="0"/>
  <mergeCells count="39">
    <mergeCell ref="N9:N10"/>
    <mergeCell ref="O9:O10"/>
    <mergeCell ref="N59:N60"/>
    <mergeCell ref="O59:O60"/>
    <mergeCell ref="N109:N110"/>
    <mergeCell ref="O109:O110"/>
    <mergeCell ref="L9:L10"/>
    <mergeCell ref="A7:A9"/>
    <mergeCell ref="B9:B10"/>
    <mergeCell ref="C9:C10"/>
    <mergeCell ref="F9:F10"/>
    <mergeCell ref="G9:G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A107:A109"/>
    <mergeCell ref="B109:B110"/>
    <mergeCell ref="C109:C110"/>
    <mergeCell ref="F109:F110"/>
    <mergeCell ref="G109:G110"/>
    <mergeCell ref="M109:M110"/>
    <mergeCell ref="H109:H110"/>
    <mergeCell ref="I109:I110"/>
    <mergeCell ref="J109:J110"/>
    <mergeCell ref="K109:K110"/>
    <mergeCell ref="L109:L1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3"/>
  <dimension ref="A1:AI153"/>
  <sheetViews>
    <sheetView zoomScaleNormal="100" workbookViewId="0">
      <selection activeCell="B3" sqref="B3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Лист1!F$10</f>
        <v>495.57660725652448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2.3359874310072315</v>
      </c>
      <c r="D11" s="15">
        <f>C11-E11</f>
        <v>1.2107108996156131</v>
      </c>
      <c r="E11" s="32">
        <f>IF(D12 &gt; $D$10,D12/$B11*100,0)</f>
        <v>1.1252765313916184</v>
      </c>
      <c r="F11" s="78">
        <v>109.9</v>
      </c>
      <c r="G11" s="79">
        <v>109.9</v>
      </c>
      <c r="H11" s="79">
        <v>97.8</v>
      </c>
      <c r="I11" s="79">
        <v>97.8</v>
      </c>
      <c r="J11" s="79">
        <v>85.182427978515591</v>
      </c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500.58242797851563</v>
      </c>
      <c r="X11" s="96">
        <v>41</v>
      </c>
      <c r="Y11" s="96">
        <v>4</v>
      </c>
      <c r="Z11" s="39">
        <v>12.582427978515625</v>
      </c>
      <c r="AA11" s="97">
        <v>42.417572021484375</v>
      </c>
      <c r="AB11" s="135">
        <v>4</v>
      </c>
      <c r="AC11" s="135">
        <v>5</v>
      </c>
      <c r="AD11" s="135">
        <v>2</v>
      </c>
      <c r="AE11" s="135">
        <v>4</v>
      </c>
      <c r="AF11" s="39">
        <v>24.2</v>
      </c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+SIGN($R11)+SIGN($S11)+SIGN($T11)+SIGN($V10))</f>
        <v>6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5.5766072565244826</v>
      </c>
      <c r="E12" s="129">
        <f>B11</f>
        <v>495.57660725652448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8.1087042521739576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Лист1!G$10</f>
        <v>530.97493634627619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2.0104407224439238</v>
      </c>
      <c r="D14" s="15">
        <f>C14-E14</f>
        <v>0.94166403303436552</v>
      </c>
      <c r="E14" s="32">
        <f t="shared" ref="E14:E50" si="2">IF(D15 &gt; $D$10,D15/$B14*100,0)</f>
        <v>1.0687766894095583</v>
      </c>
      <c r="F14" s="78">
        <v>122</v>
      </c>
      <c r="G14" s="79">
        <v>109.9</v>
      </c>
      <c r="H14" s="79">
        <v>109.9</v>
      </c>
      <c r="I14" s="79">
        <v>109.9</v>
      </c>
      <c r="J14" s="79">
        <v>84.638317871093705</v>
      </c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536.33831787109375</v>
      </c>
      <c r="X14" s="96">
        <v>44</v>
      </c>
      <c r="Y14" s="96">
        <v>4</v>
      </c>
      <c r="Z14" s="39">
        <v>48.33831787109375</v>
      </c>
      <c r="AA14" s="97">
        <v>6.66168212890625</v>
      </c>
      <c r="AB14" s="135">
        <v>1</v>
      </c>
      <c r="AC14" s="135">
        <v>5</v>
      </c>
      <c r="AD14" s="135">
        <v>1</v>
      </c>
      <c r="AE14" s="135">
        <v>3</v>
      </c>
      <c r="AF14" s="39">
        <v>24.2</v>
      </c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+SIGN($R14)+SIGN($S14)+SIGN($T14)+SIGN($V14))</f>
        <v>5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5.6749363462762403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Лист1!H$10</f>
        <v>566.37326543602796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1.7255873524510197</v>
      </c>
      <c r="D17" s="15">
        <f>C17-E17</f>
        <v>0.88281003096971777</v>
      </c>
      <c r="E17" s="32">
        <f t="shared" si="2"/>
        <v>0.84277732148130191</v>
      </c>
      <c r="F17" s="78">
        <v>122</v>
      </c>
      <c r="G17" s="79">
        <v>122</v>
      </c>
      <c r="H17" s="79">
        <v>122</v>
      </c>
      <c r="I17" s="79">
        <v>122</v>
      </c>
      <c r="J17" s="79">
        <v>84.09417724609375</v>
      </c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572.09417724609375</v>
      </c>
      <c r="X17" s="96">
        <v>47</v>
      </c>
      <c r="Y17" s="96">
        <v>4</v>
      </c>
      <c r="Z17" s="39">
        <v>84.09417724609375</v>
      </c>
      <c r="AA17" s="97"/>
      <c r="AB17" s="135"/>
      <c r="AC17" s="135"/>
      <c r="AD17" s="135"/>
      <c r="AE17" s="135"/>
      <c r="AF17" s="39"/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+SIGN($R17)+SIGN($S17)+SIGN($T17)+SIGN($V17))</f>
        <v>5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4.7732654360279412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Лист1!I$10</f>
        <v>601.77159452577973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1.4742461436337702</v>
      </c>
      <c r="D20" s="15">
        <f>C20-E20</f>
        <v>1.4742461436337702</v>
      </c>
      <c r="E20" s="32">
        <f t="shared" si="2"/>
        <v>0</v>
      </c>
      <c r="F20" s="78">
        <v>109.9</v>
      </c>
      <c r="G20" s="79">
        <v>109.9</v>
      </c>
      <c r="H20" s="79">
        <v>97.8</v>
      </c>
      <c r="I20" s="79">
        <v>97.8</v>
      </c>
      <c r="J20" s="79">
        <v>97.8</v>
      </c>
      <c r="K20" s="79">
        <v>94.650097656249955</v>
      </c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607.85009765625</v>
      </c>
      <c r="X20" s="96">
        <v>50</v>
      </c>
      <c r="Y20" s="96">
        <v>5</v>
      </c>
      <c r="Z20" s="39">
        <v>-2.14990234375</v>
      </c>
      <c r="AA20" s="97">
        <v>57.14990234375</v>
      </c>
      <c r="AB20" s="135">
        <v>5</v>
      </c>
      <c r="AC20" s="135">
        <v>5</v>
      </c>
      <c r="AD20" s="135">
        <v>2</v>
      </c>
      <c r="AE20" s="135">
        <v>5</v>
      </c>
      <c r="AF20" s="39">
        <v>36.299999999999997</v>
      </c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+SIGN($R20)+SIGN($S20)+SIGN($T20)+SIGN($V20))</f>
        <v>6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2.8715945257797557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Лист1!J$10</f>
        <v>637.1699236155315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1.2508317357962151</v>
      </c>
      <c r="D23" s="15">
        <f>C23-E23</f>
        <v>1.2508317357962151</v>
      </c>
      <c r="E23" s="32">
        <f t="shared" si="2"/>
        <v>0</v>
      </c>
      <c r="F23" s="78">
        <v>109.9</v>
      </c>
      <c r="G23" s="79">
        <v>109.9</v>
      </c>
      <c r="H23" s="79">
        <v>109.9</v>
      </c>
      <c r="I23" s="79">
        <v>109.9</v>
      </c>
      <c r="J23" s="79">
        <v>109.9</v>
      </c>
      <c r="K23" s="79">
        <v>94.10595703125</v>
      </c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643.60595703125</v>
      </c>
      <c r="X23" s="96">
        <v>53</v>
      </c>
      <c r="Y23" s="96">
        <v>5</v>
      </c>
      <c r="Z23" s="39">
        <v>33.60595703125</v>
      </c>
      <c r="AA23" s="141">
        <v>21.39404296875</v>
      </c>
      <c r="AB23" s="135">
        <v>2</v>
      </c>
      <c r="AC23" s="135">
        <v>5</v>
      </c>
      <c r="AD23" s="135">
        <v>1</v>
      </c>
      <c r="AE23" s="135">
        <v>5</v>
      </c>
      <c r="AF23" s="39">
        <v>36.299999999999997</v>
      </c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+SIGN($R23)+SIGN($S23)+SIGN($T23)+SIGN($V23))</f>
        <v>6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1.9699236155315702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Лист1!K$10</f>
        <v>672.56825270528316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1.05093463404679</v>
      </c>
      <c r="D26" s="15">
        <f>C26-E26</f>
        <v>1.05093463404679</v>
      </c>
      <c r="E26" s="32">
        <f t="shared" si="2"/>
        <v>0</v>
      </c>
      <c r="F26" s="78">
        <v>122</v>
      </c>
      <c r="G26" s="79">
        <v>122</v>
      </c>
      <c r="H26" s="79">
        <v>122</v>
      </c>
      <c r="I26" s="79">
        <v>109.9</v>
      </c>
      <c r="J26" s="79">
        <v>109.9</v>
      </c>
      <c r="K26" s="79">
        <v>93.561877441406295</v>
      </c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679.36187744140625</v>
      </c>
      <c r="X26" s="96">
        <v>56</v>
      </c>
      <c r="Y26" s="96">
        <v>5</v>
      </c>
      <c r="Z26" s="39">
        <v>69.36187744140625</v>
      </c>
      <c r="AA26" s="141"/>
      <c r="AB26" s="135"/>
      <c r="AC26" s="135">
        <v>5</v>
      </c>
      <c r="AD26" s="135">
        <v>1</v>
      </c>
      <c r="AE26" s="135">
        <v>2</v>
      </c>
      <c r="AF26" s="39">
        <v>24.2</v>
      </c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+SIGN($R26)+SIGN($S26)+SIGN($T26)+SIGN($V26))</f>
        <v>6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1.0682527052831574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Лист1!L$10</f>
        <v>707.96658179503493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0.87102724247233931</v>
      </c>
      <c r="D29" s="15">
        <f>C29-E29</f>
        <v>0.87102724247233931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122</v>
      </c>
      <c r="J29" s="79">
        <v>122</v>
      </c>
      <c r="K29" s="79">
        <v>105.11773681640625</v>
      </c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715.11773681640625</v>
      </c>
      <c r="X29" s="140">
        <v>59</v>
      </c>
      <c r="Y29" s="140">
        <v>5</v>
      </c>
      <c r="Z29" s="39">
        <v>105.11773681640625</v>
      </c>
      <c r="AA29" s="39"/>
      <c r="AB29" s="135"/>
      <c r="AC29" s="135"/>
      <c r="AD29" s="135"/>
      <c r="AE29" s="135"/>
      <c r="AF29" s="39"/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+SIGN($R29)+SIGN($S29)+SIGN($T29)+SIGN($V29))</f>
        <v>6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0.16658179503497195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Лист1!M$10</f>
        <v>743.3649108847867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0.70825388819067836</v>
      </c>
      <c r="D32" s="15">
        <f>C32-E32</f>
        <v>0.70825388819067836</v>
      </c>
      <c r="E32" s="32">
        <f t="shared" si="2"/>
        <v>0</v>
      </c>
      <c r="F32" s="78">
        <v>109.9</v>
      </c>
      <c r="G32" s="79">
        <v>109.9</v>
      </c>
      <c r="H32" s="79">
        <v>109.9</v>
      </c>
      <c r="I32" s="79">
        <v>109.9</v>
      </c>
      <c r="J32" s="79">
        <v>109.9</v>
      </c>
      <c r="K32" s="79">
        <v>109.9</v>
      </c>
      <c r="L32" s="79">
        <v>91.473657226562523</v>
      </c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750.8736572265625</v>
      </c>
      <c r="X32" s="96">
        <v>62</v>
      </c>
      <c r="Y32" s="96">
        <v>6</v>
      </c>
      <c r="Z32" s="39">
        <v>18.8736572265625</v>
      </c>
      <c r="AA32" s="39">
        <v>36.1263427734375</v>
      </c>
      <c r="AB32" s="135">
        <v>3</v>
      </c>
      <c r="AC32" s="135">
        <v>5</v>
      </c>
      <c r="AD32" s="135">
        <v>2</v>
      </c>
      <c r="AE32" s="135">
        <v>6</v>
      </c>
      <c r="AF32" s="39">
        <v>36.299999999999997</v>
      </c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+SIGN($R32)+SIGN($S32)+SIGN($T32)+SIGN($V32))</f>
        <v>7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-1.7350891152133272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Лист1!N$10</f>
        <v>778.76323997453846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0.56027811157100105</v>
      </c>
      <c r="D35" s="15">
        <f>C35-E35</f>
        <v>0.56027811157100105</v>
      </c>
      <c r="E35" s="32">
        <f t="shared" si="2"/>
        <v>0</v>
      </c>
      <c r="F35" s="78">
        <v>122</v>
      </c>
      <c r="G35" s="79">
        <v>122</v>
      </c>
      <c r="H35" s="79">
        <v>122</v>
      </c>
      <c r="I35" s="79">
        <v>109.9</v>
      </c>
      <c r="J35" s="79">
        <v>109.9</v>
      </c>
      <c r="K35" s="79">
        <v>109.9</v>
      </c>
      <c r="L35" s="79">
        <v>90.929516601562568</v>
      </c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786.6295166015625</v>
      </c>
      <c r="X35" s="96">
        <v>65</v>
      </c>
      <c r="Y35" s="96">
        <v>6</v>
      </c>
      <c r="Z35" s="39">
        <v>54.6295166015625</v>
      </c>
      <c r="AA35" s="39">
        <v>0.3704833984375</v>
      </c>
      <c r="AB35" s="135">
        <v>1</v>
      </c>
      <c r="AC35" s="135">
        <v>5</v>
      </c>
      <c r="AD35" s="135">
        <v>1</v>
      </c>
      <c r="AE35" s="135">
        <v>3</v>
      </c>
      <c r="AF35" s="39">
        <v>24.2</v>
      </c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+SIGN($R35)+SIGN($S35)+SIGN($T35)+SIGN($V35))</f>
        <v>7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-2.6367600254615127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Лист1!O$10</f>
        <v>792.92257161043915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0.80998723461671651</v>
      </c>
      <c r="D38" s="15">
        <f>C38-E38</f>
        <v>0.80998723461671651</v>
      </c>
      <c r="E38" s="32">
        <f t="shared" si="2"/>
        <v>0</v>
      </c>
      <c r="F38" s="78">
        <v>122</v>
      </c>
      <c r="G38" s="79">
        <v>122</v>
      </c>
      <c r="H38" s="79">
        <v>122</v>
      </c>
      <c r="I38" s="79">
        <v>122</v>
      </c>
      <c r="J38" s="79">
        <v>109.9</v>
      </c>
      <c r="K38" s="79">
        <v>109.9</v>
      </c>
      <c r="L38" s="79">
        <v>93.131884765625045</v>
      </c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800.931884765625</v>
      </c>
      <c r="X38" s="135">
        <v>66</v>
      </c>
      <c r="Y38" s="135">
        <v>6</v>
      </c>
      <c r="Z38" s="39">
        <v>68.931884765625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+SIGN($R38)+SIGN($S38)+SIGN($T38)+SIGN($V38))</f>
        <v>7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-0.57742838956085052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Лист1!P$10</f>
        <v>807.08190324633983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1.0509346340467927</v>
      </c>
      <c r="D41" s="15">
        <f>C41-E41</f>
        <v>1.0509346340467927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122</v>
      </c>
      <c r="J41" s="79">
        <v>122</v>
      </c>
      <c r="K41" s="79">
        <v>109.9</v>
      </c>
      <c r="L41" s="79">
        <v>95.334252929687523</v>
      </c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815.2342529296875</v>
      </c>
      <c r="X41" s="135">
        <v>67</v>
      </c>
      <c r="Y41" s="135">
        <v>6</v>
      </c>
      <c r="Z41" s="39">
        <v>83.2342529296875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+SIGN($R41)+SIGN($S41)+SIGN($T41)+SIGN($V41))</f>
        <v>7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1.4819032463398116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Лист1!Q$10</f>
        <v>821.24123488224052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1.2835735024620527</v>
      </c>
      <c r="D44" s="15">
        <f>C44-E44</f>
        <v>0.85236830576386535</v>
      </c>
      <c r="E44" s="32">
        <f t="shared" si="2"/>
        <v>0.4312051966981873</v>
      </c>
      <c r="F44" s="85">
        <v>122</v>
      </c>
      <c r="G44" s="82">
        <v>122</v>
      </c>
      <c r="H44" s="82">
        <v>122</v>
      </c>
      <c r="I44" s="82">
        <v>122</v>
      </c>
      <c r="J44" s="82">
        <v>122</v>
      </c>
      <c r="K44" s="82">
        <v>122</v>
      </c>
      <c r="L44" s="82">
        <v>97.53662109375</v>
      </c>
      <c r="M44" s="86"/>
      <c r="N44" s="41"/>
      <c r="O44" s="38"/>
      <c r="P44" s="38"/>
      <c r="Q44" s="38"/>
      <c r="R44" s="39"/>
      <c r="S44" s="102"/>
      <c r="T44" s="102"/>
      <c r="U44" s="102"/>
      <c r="V44" s="171"/>
      <c r="W44" s="28">
        <f>SUM(F44:T44)</f>
        <v>829.53662109375</v>
      </c>
      <c r="X44" s="135">
        <v>68</v>
      </c>
      <c r="Y44" s="135">
        <v>6</v>
      </c>
      <c r="Z44" s="39">
        <v>97.53662109375</v>
      </c>
      <c r="AA44" s="39"/>
      <c r="AB44" s="135"/>
      <c r="AC44" s="135"/>
      <c r="AD44" s="135"/>
      <c r="AE44" s="135"/>
      <c r="AF44" s="39"/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+SIGN($R44)+SIGN($S44)+SIGN($T44)+SIGN($V44))</f>
        <v>7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3.5412348822405875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Лист1!R$10</f>
        <v>835.40056651814132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5.9919341475628558E-2</v>
      </c>
      <c r="D47" s="15">
        <f>C47-E47</f>
        <v>5.9919341475628558E-2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122</v>
      </c>
      <c r="L47" s="79">
        <v>111.83892822265625</v>
      </c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843.83892822265625</v>
      </c>
      <c r="X47" s="135">
        <v>69</v>
      </c>
      <c r="Y47" s="135">
        <v>6</v>
      </c>
      <c r="Z47" s="39">
        <v>111.83892822265625</v>
      </c>
      <c r="AA47" s="39"/>
      <c r="AB47" s="135"/>
      <c r="AC47" s="135"/>
      <c r="AD47" s="135"/>
      <c r="AE47" s="135"/>
      <c r="AF47" s="39"/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+SIGN($R47)+SIGN($S47)+SIGN($T47)+SIGN($V47))</f>
        <v>7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-6.4994334818586594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899999999999999" x14ac:dyDescent="0.35">
      <c r="A50" s="60">
        <f>Лист1!S$3</f>
        <v>12</v>
      </c>
      <c r="B50" s="224">
        <f>Лист1!S$10</f>
        <v>849.559898154042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0.30132050248655246</v>
      </c>
      <c r="D50" s="15">
        <f>C50-E50</f>
        <v>0.30132050248655246</v>
      </c>
      <c r="E50" s="32">
        <f t="shared" si="2"/>
        <v>0</v>
      </c>
      <c r="F50" s="87">
        <v>109.9</v>
      </c>
      <c r="G50" s="88">
        <v>109.9</v>
      </c>
      <c r="H50" s="88">
        <v>109.9</v>
      </c>
      <c r="I50" s="88">
        <v>109.9</v>
      </c>
      <c r="J50" s="88">
        <v>109.9</v>
      </c>
      <c r="K50" s="88">
        <v>109.9</v>
      </c>
      <c r="L50" s="88">
        <v>109.9</v>
      </c>
      <c r="M50" s="89">
        <v>88.841296386718795</v>
      </c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858.14129638671875</v>
      </c>
      <c r="X50" s="135">
        <v>70</v>
      </c>
      <c r="Y50" s="135">
        <v>7</v>
      </c>
      <c r="Z50" s="39">
        <v>4.14129638671875</v>
      </c>
      <c r="AA50" s="141">
        <v>50.85870361328125</v>
      </c>
      <c r="AB50" s="135">
        <v>5</v>
      </c>
      <c r="AC50" s="135">
        <v>5</v>
      </c>
      <c r="AD50" s="135">
        <v>2</v>
      </c>
      <c r="AE50" s="135">
        <v>7</v>
      </c>
      <c r="AF50" s="39">
        <v>24.2</v>
      </c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8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-5.4401018459579973</v>
      </c>
      <c r="E51" s="129">
        <f>B50</f>
        <v>849.559898154042</v>
      </c>
      <c r="F51" s="20">
        <f>C51-F50</f>
        <v>-101.9</v>
      </c>
      <c r="G51" s="26">
        <f t="shared" ref="G51:M51" si="3">F51-G50</f>
        <v>-211.8</v>
      </c>
      <c r="H51" s="26">
        <f t="shared" si="3"/>
        <v>-321.70000000000005</v>
      </c>
      <c r="I51" s="26">
        <f t="shared" si="3"/>
        <v>-431.6</v>
      </c>
      <c r="J51" s="26">
        <f t="shared" si="3"/>
        <v>-541.5</v>
      </c>
      <c r="K51" s="26">
        <f t="shared" si="3"/>
        <v>-651.4</v>
      </c>
      <c r="L51" s="26">
        <f t="shared" si="3"/>
        <v>-761.3</v>
      </c>
      <c r="M51" s="26">
        <f t="shared" si="3"/>
        <v>-850.14129638671875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9.9475784906026217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1.032888165113381</v>
      </c>
      <c r="D53" s="31">
        <f>AVERAGE(D11,D14,D17,D20,D23,D26,D29,D32,D35,D38,D41,D44,D47,D50,)</f>
        <v>0.80168578251466971</v>
      </c>
      <c r="E53" s="31">
        <f>AVERAGE(E11,E14,E17,E20,E23,E26,E29,E32,E35,E38,E41,E44,E47,E50,)</f>
        <v>0.23120238259871106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9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9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95" x14ac:dyDescent="0.3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99999999999999" x14ac:dyDescent="0.35">
      <c r="A61" s="60">
        <f>Лист1!F$3</f>
        <v>7</v>
      </c>
      <c r="B61" s="13">
        <f>Лист1!F$10</f>
        <v>495.57660725652448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2.3359874310072315</v>
      </c>
      <c r="D61" s="15">
        <f>C61-E61</f>
        <v>1.0089257496796775</v>
      </c>
      <c r="E61" s="32">
        <f>IF(D62 &gt; $D$60,D62/$B61*100,0)</f>
        <v>1.327061681327554</v>
      </c>
      <c r="F61" s="78">
        <v>109.9</v>
      </c>
      <c r="G61" s="79">
        <v>97.8</v>
      </c>
      <c r="H61" s="79">
        <v>97.8</v>
      </c>
      <c r="I61" s="79">
        <v>97.8</v>
      </c>
      <c r="J61" s="107">
        <v>97.282427978515614</v>
      </c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500.58242797851563</v>
      </c>
      <c r="X61" s="96">
        <v>41</v>
      </c>
      <c r="Y61" s="96">
        <v>4</v>
      </c>
      <c r="Z61" s="39">
        <v>12.582427978515625</v>
      </c>
      <c r="AA61" s="97">
        <v>62.417572021484375</v>
      </c>
      <c r="AB61" s="135">
        <v>6</v>
      </c>
      <c r="AC61" s="135">
        <v>3</v>
      </c>
      <c r="AD61" s="135">
        <v>3</v>
      </c>
      <c r="AE61" s="135">
        <v>4</v>
      </c>
      <c r="AF61" s="39">
        <v>12.1</v>
      </c>
    </row>
    <row r="62" spans="1:35" ht="16.95" hidden="1" x14ac:dyDescent="0.3">
      <c r="A62" s="58"/>
      <c r="B62" s="176"/>
      <c r="C62" s="19">
        <f>$C$58*
(SIGN($F61)+SIGN($G61)+SIGN($H61)+SIGN($I61)
+SIGN($J61)+SIGN($K61)+SIGN($L61)+SIGN($M61)
+SIGN($N61)+SIGN($O61)+SIGN($P61)+SIGN($Q61)
+SIGN($R61)+SIGN($S61)+SIGN($T61)+SIGN($V61))</f>
        <v>5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6.5766072565244826</v>
      </c>
      <c r="E62" s="129">
        <f>B61</f>
        <v>495.57660725652448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95" hidden="1" x14ac:dyDescent="0.3">
      <c r="A63" s="58"/>
      <c r="B63" s="176"/>
      <c r="C63" s="22"/>
      <c r="D63" s="22"/>
      <c r="E63" s="22">
        <f>IF(B61&gt;0,(B61/ROUNDUP(ROUNDUP(((B61-($C$58*ROUNDUP(B61/$H$58,0)))/$C$57),0)/$H$57,0)-$C$58)/$C$57,0-$C$58/$C$57)</f>
        <v>8.1087042521739576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899999999999999" x14ac:dyDescent="0.35">
      <c r="A64" s="60">
        <f>Лист1!G$3</f>
        <v>7.5</v>
      </c>
      <c r="B64" s="13">
        <f>Лист1!G$10</f>
        <v>530.97493634627619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2.0104407224439238</v>
      </c>
      <c r="D64" s="15">
        <f>C64-E64</f>
        <v>0.94166403303436552</v>
      </c>
      <c r="E64" s="32">
        <f t="shared" ref="E64:E100" si="7">IF(D65 &gt; $D$60,D65/$B64*100,0)</f>
        <v>1.0687766894095583</v>
      </c>
      <c r="F64" s="78">
        <v>109.9</v>
      </c>
      <c r="G64" s="79">
        <v>109.9</v>
      </c>
      <c r="H64" s="79">
        <v>109.9</v>
      </c>
      <c r="I64" s="79">
        <v>109.9</v>
      </c>
      <c r="J64" s="107">
        <v>96.738317871093727</v>
      </c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536.33831787109375</v>
      </c>
      <c r="X64" s="96">
        <v>44</v>
      </c>
      <c r="Y64" s="96">
        <v>4</v>
      </c>
      <c r="Z64" s="39">
        <v>48.33831787109375</v>
      </c>
      <c r="AA64" s="97">
        <v>26.66168212890625</v>
      </c>
      <c r="AB64" s="135">
        <v>3</v>
      </c>
      <c r="AC64" s="135">
        <v>3</v>
      </c>
      <c r="AD64" s="135">
        <v>2</v>
      </c>
      <c r="AE64" s="135">
        <v>4</v>
      </c>
      <c r="AF64" s="39">
        <v>12.1</v>
      </c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5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5.6749363462762403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99999999999999" x14ac:dyDescent="0.35">
      <c r="A67" s="60">
        <f>Лист1!H$3</f>
        <v>8</v>
      </c>
      <c r="B67" s="13">
        <f>Лист1!H$10</f>
        <v>566.37326543602796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1.7255873524510197</v>
      </c>
      <c r="D67" s="15">
        <f>C67-E67</f>
        <v>0.88281003096971777</v>
      </c>
      <c r="E67" s="32">
        <f t="shared" si="7"/>
        <v>0.84277732148130191</v>
      </c>
      <c r="F67" s="78">
        <v>122</v>
      </c>
      <c r="G67" s="79">
        <v>122</v>
      </c>
      <c r="H67" s="79">
        <v>122</v>
      </c>
      <c r="I67" s="79">
        <v>109.9</v>
      </c>
      <c r="J67" s="107">
        <v>96.194177246093773</v>
      </c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572.09417724609375</v>
      </c>
      <c r="X67" s="96">
        <v>47</v>
      </c>
      <c r="Y67" s="96">
        <v>4</v>
      </c>
      <c r="Z67" s="39">
        <v>84.09417724609375</v>
      </c>
      <c r="AA67" s="97"/>
      <c r="AB67" s="135"/>
      <c r="AC67" s="135">
        <v>3</v>
      </c>
      <c r="AD67" s="135">
        <v>1</v>
      </c>
      <c r="AE67" s="135">
        <v>1</v>
      </c>
      <c r="AF67" s="39">
        <v>12.1</v>
      </c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5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4.7732654360279412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99999999999999" x14ac:dyDescent="0.35">
      <c r="A70" s="60">
        <f>Лист1!I$3</f>
        <v>8.5</v>
      </c>
      <c r="B70" s="13">
        <f>Лист1!I$10</f>
        <v>601.77159452577973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1.4742461436337702</v>
      </c>
      <c r="D70" s="15">
        <f>C70-E70</f>
        <v>1.4742461436337702</v>
      </c>
      <c r="E70" s="32">
        <f t="shared" si="7"/>
        <v>0</v>
      </c>
      <c r="F70" s="78">
        <v>109.9</v>
      </c>
      <c r="G70" s="79">
        <v>109.9</v>
      </c>
      <c r="H70" s="79">
        <v>97.8</v>
      </c>
      <c r="I70" s="79">
        <v>97.8</v>
      </c>
      <c r="J70" s="107">
        <v>97.8</v>
      </c>
      <c r="K70" s="107">
        <v>94.650097656249955</v>
      </c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607.85009765625</v>
      </c>
      <c r="X70" s="96">
        <v>50</v>
      </c>
      <c r="Y70" s="96">
        <v>5</v>
      </c>
      <c r="Z70" s="39">
        <v>-2.14990234375</v>
      </c>
      <c r="AA70" s="97">
        <v>77.14990234375</v>
      </c>
      <c r="AB70" s="135">
        <v>7</v>
      </c>
      <c r="AC70" s="135">
        <v>3</v>
      </c>
      <c r="AD70" s="135">
        <v>3</v>
      </c>
      <c r="AE70" s="135">
        <v>5</v>
      </c>
      <c r="AF70" s="39">
        <v>12.1</v>
      </c>
    </row>
    <row r="71" spans="1:32" s="12" customFormat="1" ht="16.95" hidden="1" x14ac:dyDescent="0.3">
      <c r="A71" s="58"/>
      <c r="B71" s="175"/>
      <c r="C71" s="19">
        <f>$C$58*
(SIGN($F70)+SIGN($G70)+SIGN($H70)+SIGN($I70)
+SIGN($J70)+SIGN($K70)+SIGN($L70)+SIGN($M70)
+SIGN($N70)+SIGN($O70)+SIGN($P70)+SIGN($Q70)
+SIGN($R70)+SIGN($S70)+SIGN($T70)+SIGN($V70))</f>
        <v>6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2.8715945257797557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175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99999999999999" x14ac:dyDescent="0.35">
      <c r="A73" s="60">
        <f>Лист1!J$3</f>
        <v>9</v>
      </c>
      <c r="B73" s="13">
        <f>Лист1!J$10</f>
        <v>637.1699236155315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1.2508317357962151</v>
      </c>
      <c r="D73" s="15">
        <f>C73-E73</f>
        <v>1.2508317357962151</v>
      </c>
      <c r="E73" s="32">
        <f t="shared" si="7"/>
        <v>0</v>
      </c>
      <c r="F73" s="78">
        <v>109.9</v>
      </c>
      <c r="G73" s="79">
        <v>109.9</v>
      </c>
      <c r="H73" s="79">
        <v>109.9</v>
      </c>
      <c r="I73" s="79">
        <v>109.9</v>
      </c>
      <c r="J73" s="79">
        <v>109.9</v>
      </c>
      <c r="K73" s="79">
        <v>94.10595703125</v>
      </c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643.60595703125</v>
      </c>
      <c r="X73" s="135">
        <v>53</v>
      </c>
      <c r="Y73" s="135">
        <v>5</v>
      </c>
      <c r="Z73" s="39">
        <v>33.60595703125</v>
      </c>
      <c r="AA73" s="141">
        <v>41.39404296875</v>
      </c>
      <c r="AB73" s="135">
        <v>4</v>
      </c>
      <c r="AC73" s="135">
        <v>3</v>
      </c>
      <c r="AD73" s="135">
        <v>2</v>
      </c>
      <c r="AE73" s="135">
        <v>5</v>
      </c>
      <c r="AF73" s="39">
        <v>12.1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6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1.9699236155315702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99999999999999" x14ac:dyDescent="0.35">
      <c r="A76" s="60">
        <f>Лист1!K$3</f>
        <v>9.5</v>
      </c>
      <c r="B76" s="13">
        <f>Лист1!K$10</f>
        <v>672.56825270528316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1.05093463404679</v>
      </c>
      <c r="D76" s="15">
        <f>C76-E76</f>
        <v>1.05093463404679</v>
      </c>
      <c r="E76" s="32">
        <f t="shared" si="7"/>
        <v>0</v>
      </c>
      <c r="F76" s="78">
        <v>122</v>
      </c>
      <c r="G76" s="79">
        <v>122</v>
      </c>
      <c r="H76" s="79">
        <v>109.9</v>
      </c>
      <c r="I76" s="79">
        <v>109.9</v>
      </c>
      <c r="J76" s="79">
        <v>109.9</v>
      </c>
      <c r="K76" s="79">
        <v>105.66187744140632</v>
      </c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679.36187744140625</v>
      </c>
      <c r="X76" s="135">
        <v>56</v>
      </c>
      <c r="Y76" s="135">
        <v>5</v>
      </c>
      <c r="Z76" s="39">
        <v>69.36187744140625</v>
      </c>
      <c r="AA76" s="39">
        <v>5.63812255859375</v>
      </c>
      <c r="AB76" s="135">
        <v>1</v>
      </c>
      <c r="AC76" s="135">
        <v>3</v>
      </c>
      <c r="AD76" s="135">
        <v>1</v>
      </c>
      <c r="AE76" s="135">
        <v>3</v>
      </c>
      <c r="AF76" s="39">
        <v>24.2</v>
      </c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6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1.0682527052831574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99999999999999" x14ac:dyDescent="0.35">
      <c r="A79" s="60">
        <f>Лист1!L$3</f>
        <v>10</v>
      </c>
      <c r="B79" s="13">
        <f>Лист1!L$10</f>
        <v>707.96658179503493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0.87102724247233931</v>
      </c>
      <c r="D79" s="15">
        <f>C79-E79</f>
        <v>0.87102724247233931</v>
      </c>
      <c r="E79" s="32">
        <f t="shared" si="7"/>
        <v>0</v>
      </c>
      <c r="F79" s="78">
        <v>122</v>
      </c>
      <c r="G79" s="79">
        <v>122</v>
      </c>
      <c r="H79" s="79">
        <v>122</v>
      </c>
      <c r="I79" s="79">
        <v>122</v>
      </c>
      <c r="J79" s="79">
        <v>122</v>
      </c>
      <c r="K79" s="79">
        <v>105.11773681640625</v>
      </c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715.11773681640625</v>
      </c>
      <c r="X79" s="135">
        <v>59</v>
      </c>
      <c r="Y79" s="135">
        <v>5</v>
      </c>
      <c r="Z79" s="39">
        <v>105.11773681640625</v>
      </c>
      <c r="AA79" s="39"/>
      <c r="AB79" s="135"/>
      <c r="AC79" s="135"/>
      <c r="AD79" s="135"/>
      <c r="AE79" s="135"/>
      <c r="AF79" s="39"/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6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0.16658179503497195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99999999999999" x14ac:dyDescent="0.35">
      <c r="A82" s="60">
        <f>Лист1!M$3</f>
        <v>10.5</v>
      </c>
      <c r="B82" s="13">
        <f>Лист1!M$10</f>
        <v>743.3649108847867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0.70825388819067836</v>
      </c>
      <c r="D82" s="15">
        <f>C82-E82</f>
        <v>0.70825388819067836</v>
      </c>
      <c r="E82" s="32">
        <f t="shared" si="7"/>
        <v>0</v>
      </c>
      <c r="F82" s="78">
        <v>109.9</v>
      </c>
      <c r="G82" s="79">
        <v>109.9</v>
      </c>
      <c r="H82" s="79">
        <v>109.9</v>
      </c>
      <c r="I82" s="79">
        <v>109.9</v>
      </c>
      <c r="J82" s="79">
        <v>109.9</v>
      </c>
      <c r="K82" s="79">
        <v>97.8</v>
      </c>
      <c r="L82" s="79">
        <v>103.57365722656255</v>
      </c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750.8736572265625</v>
      </c>
      <c r="X82" s="135">
        <v>62</v>
      </c>
      <c r="Y82" s="135">
        <v>6</v>
      </c>
      <c r="Z82" s="39">
        <v>18.8736572265625</v>
      </c>
      <c r="AA82" s="39">
        <v>56.1263427734375</v>
      </c>
      <c r="AB82" s="135">
        <v>5</v>
      </c>
      <c r="AC82" s="135">
        <v>3</v>
      </c>
      <c r="AD82" s="135">
        <v>3</v>
      </c>
      <c r="AE82" s="135">
        <v>6</v>
      </c>
      <c r="AF82" s="39">
        <v>24.2</v>
      </c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7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-1.7350891152133272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99999999999999" x14ac:dyDescent="0.35">
      <c r="A85" s="60">
        <f>Лист1!N$3</f>
        <v>11</v>
      </c>
      <c r="B85" s="13">
        <f>Лист1!N$10</f>
        <v>778.76323997453846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0.56027811157100105</v>
      </c>
      <c r="D85" s="15">
        <f>C85-E85</f>
        <v>0.56027811157100105</v>
      </c>
      <c r="E85" s="32">
        <f t="shared" si="7"/>
        <v>0</v>
      </c>
      <c r="F85" s="78">
        <v>122</v>
      </c>
      <c r="G85" s="79">
        <v>122</v>
      </c>
      <c r="H85" s="79">
        <v>109.9</v>
      </c>
      <c r="I85" s="79">
        <v>109.9</v>
      </c>
      <c r="J85" s="79">
        <v>109.9</v>
      </c>
      <c r="K85" s="79">
        <v>109.9</v>
      </c>
      <c r="L85" s="79">
        <v>103.02951660156259</v>
      </c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786.6295166015625</v>
      </c>
      <c r="X85" s="135">
        <v>65</v>
      </c>
      <c r="Y85" s="135">
        <v>6</v>
      </c>
      <c r="Z85" s="39">
        <v>54.6295166015625</v>
      </c>
      <c r="AA85" s="39">
        <v>20.3704833984375</v>
      </c>
      <c r="AB85" s="135">
        <v>2</v>
      </c>
      <c r="AC85" s="135">
        <v>3</v>
      </c>
      <c r="AD85" s="135">
        <v>2</v>
      </c>
      <c r="AE85" s="135">
        <v>4</v>
      </c>
      <c r="AF85" s="39">
        <v>24.2</v>
      </c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7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-2.6367600254615127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99999999999999" x14ac:dyDescent="0.35">
      <c r="A88" s="60">
        <f>Лист1!O$3</f>
        <v>11.2</v>
      </c>
      <c r="B88" s="13">
        <f>Лист1!O$10</f>
        <v>792.92257161043915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0.80998723461671651</v>
      </c>
      <c r="D88" s="15">
        <f>C88-E88</f>
        <v>0.80998723461671651</v>
      </c>
      <c r="E88" s="32">
        <f t="shared" si="7"/>
        <v>0</v>
      </c>
      <c r="F88" s="78">
        <v>122</v>
      </c>
      <c r="G88" s="79">
        <v>122</v>
      </c>
      <c r="H88" s="79">
        <v>122</v>
      </c>
      <c r="I88" s="79">
        <v>109.9</v>
      </c>
      <c r="J88" s="79">
        <v>109.9</v>
      </c>
      <c r="K88" s="79">
        <v>109.9</v>
      </c>
      <c r="L88" s="79">
        <v>105.23188476562507</v>
      </c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800.931884765625</v>
      </c>
      <c r="X88" s="135">
        <v>66</v>
      </c>
      <c r="Y88" s="135">
        <v>6</v>
      </c>
      <c r="Z88" s="39">
        <v>68.931884765625</v>
      </c>
      <c r="AA88" s="39">
        <v>6.068115234375</v>
      </c>
      <c r="AB88" s="135">
        <v>1</v>
      </c>
      <c r="AC88" s="135">
        <v>3</v>
      </c>
      <c r="AD88" s="135">
        <v>1</v>
      </c>
      <c r="AE88" s="135">
        <v>3</v>
      </c>
      <c r="AF88" s="39">
        <v>24.2</v>
      </c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7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-0.57742838956085052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99999999999999" x14ac:dyDescent="0.35">
      <c r="A91" s="60">
        <f>Лист1!P$3</f>
        <v>11.4</v>
      </c>
      <c r="B91" s="13">
        <f>Лист1!P$10</f>
        <v>807.08190324633983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1.0509346340467927</v>
      </c>
      <c r="D91" s="15">
        <f>C91-E91</f>
        <v>1.0509346340467927</v>
      </c>
      <c r="E91" s="32">
        <f t="shared" si="7"/>
        <v>0</v>
      </c>
      <c r="F91" s="78">
        <v>122</v>
      </c>
      <c r="G91" s="79">
        <v>122</v>
      </c>
      <c r="H91" s="79">
        <v>122</v>
      </c>
      <c r="I91" s="79">
        <v>122</v>
      </c>
      <c r="J91" s="79">
        <v>122</v>
      </c>
      <c r="K91" s="79">
        <v>109.9</v>
      </c>
      <c r="L91" s="79">
        <v>95.334252929687523</v>
      </c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815.2342529296875</v>
      </c>
      <c r="X91" s="135">
        <v>67</v>
      </c>
      <c r="Y91" s="135">
        <v>6</v>
      </c>
      <c r="Z91" s="39">
        <v>83.2342529296875</v>
      </c>
      <c r="AA91" s="39"/>
      <c r="AB91" s="135"/>
      <c r="AC91" s="135">
        <v>3</v>
      </c>
      <c r="AD91" s="135">
        <v>1</v>
      </c>
      <c r="AE91" s="135">
        <v>1</v>
      </c>
      <c r="AF91" s="39">
        <v>12.1</v>
      </c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7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1.4819032463398116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99999999999999" x14ac:dyDescent="0.35">
      <c r="A94" s="60">
        <f>Лист1!Q$3</f>
        <v>11.6</v>
      </c>
      <c r="B94" s="27">
        <f>Лист1!Q$10</f>
        <v>821.24123488224052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1.2835735024620527</v>
      </c>
      <c r="D94" s="15">
        <f>C94-E94</f>
        <v>0.85236830576386535</v>
      </c>
      <c r="E94" s="32">
        <f t="shared" si="7"/>
        <v>0.4312051966981873</v>
      </c>
      <c r="F94" s="85">
        <v>122</v>
      </c>
      <c r="G94" s="82">
        <v>122</v>
      </c>
      <c r="H94" s="82">
        <v>122</v>
      </c>
      <c r="I94" s="82">
        <v>122</v>
      </c>
      <c r="J94" s="82">
        <v>122</v>
      </c>
      <c r="K94" s="82">
        <v>122</v>
      </c>
      <c r="L94" s="82">
        <v>97.53662109375</v>
      </c>
      <c r="M94" s="86"/>
      <c r="N94" s="38"/>
      <c r="O94" s="38"/>
      <c r="P94" s="38"/>
      <c r="Q94" s="38"/>
      <c r="R94" s="39"/>
      <c r="S94" s="102"/>
      <c r="T94" s="102"/>
      <c r="U94" s="102"/>
      <c r="V94" s="171"/>
      <c r="W94" s="28">
        <f>SUM(F94:T94)</f>
        <v>829.53662109375</v>
      </c>
      <c r="X94" s="135">
        <v>68</v>
      </c>
      <c r="Y94" s="135">
        <v>6</v>
      </c>
      <c r="Z94" s="39">
        <v>97.53662109375</v>
      </c>
      <c r="AA94" s="39"/>
      <c r="AB94" s="135"/>
      <c r="AC94" s="135"/>
      <c r="AD94" s="135"/>
      <c r="AE94" s="135"/>
      <c r="AF94" s="39"/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7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3.5412348822405875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99999999999999" x14ac:dyDescent="0.35">
      <c r="A97" s="60">
        <f>Лист1!R$3</f>
        <v>11.8</v>
      </c>
      <c r="B97" s="13">
        <f>Лист1!R$10</f>
        <v>835.40056651814132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5.9919341475628558E-2</v>
      </c>
      <c r="D97" s="15">
        <f>C97-E97</f>
        <v>5.9919341475628558E-2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122</v>
      </c>
      <c r="K97" s="79">
        <v>122</v>
      </c>
      <c r="L97" s="79">
        <v>111.83892822265625</v>
      </c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843.83892822265625</v>
      </c>
      <c r="X97" s="135">
        <v>69</v>
      </c>
      <c r="Y97" s="135">
        <v>6</v>
      </c>
      <c r="Z97" s="39">
        <v>111.83892822265625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7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-6.4994334818586594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899999999999999" x14ac:dyDescent="0.35">
      <c r="A100" s="60">
        <f>Лист1!S$3</f>
        <v>12</v>
      </c>
      <c r="B100" s="13">
        <f>Лист1!S$10</f>
        <v>849.559898154042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0.30132050248655246</v>
      </c>
      <c r="D100" s="15">
        <f>C100-E100</f>
        <v>0.30132050248655246</v>
      </c>
      <c r="E100" s="32">
        <f t="shared" si="7"/>
        <v>0</v>
      </c>
      <c r="F100" s="88">
        <v>109.9</v>
      </c>
      <c r="G100" s="88">
        <v>109.9</v>
      </c>
      <c r="H100" s="88">
        <v>109.9</v>
      </c>
      <c r="I100" s="88">
        <v>109.9</v>
      </c>
      <c r="J100" s="88">
        <v>109.9</v>
      </c>
      <c r="K100" s="88">
        <v>109.9</v>
      </c>
      <c r="L100" s="88">
        <v>97.8</v>
      </c>
      <c r="M100" s="89">
        <v>100.94129638671882</v>
      </c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858.14129638671875</v>
      </c>
      <c r="X100" s="135">
        <v>70</v>
      </c>
      <c r="Y100" s="135">
        <v>7</v>
      </c>
      <c r="Z100" s="39">
        <v>4.14129638671875</v>
      </c>
      <c r="AA100" s="141">
        <v>70.85870361328125</v>
      </c>
      <c r="AB100" s="135">
        <v>6</v>
      </c>
      <c r="AC100" s="135">
        <v>3</v>
      </c>
      <c r="AD100" s="135">
        <v>3</v>
      </c>
      <c r="AE100" s="135">
        <v>7</v>
      </c>
      <c r="AF100" s="39">
        <v>24.2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8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-5.4401018459579973</v>
      </c>
      <c r="E101" s="129">
        <f>B100</f>
        <v>849.559898154042</v>
      </c>
      <c r="F101" s="20">
        <f>C101-F100</f>
        <v>-101.9</v>
      </c>
      <c r="G101" s="26">
        <f t="shared" ref="G101:M101" si="8">F101-G100</f>
        <v>-211.8</v>
      </c>
      <c r="H101" s="26">
        <f t="shared" si="8"/>
        <v>-321.70000000000005</v>
      </c>
      <c r="I101" s="26">
        <f t="shared" si="8"/>
        <v>-431.6</v>
      </c>
      <c r="J101" s="26">
        <f t="shared" si="8"/>
        <v>-541.5</v>
      </c>
      <c r="K101" s="26">
        <f t="shared" si="8"/>
        <v>-651.4</v>
      </c>
      <c r="L101" s="26">
        <f t="shared" si="8"/>
        <v>-749.19999999999993</v>
      </c>
      <c r="M101" s="26">
        <f t="shared" si="8"/>
        <v>-850.14129638671875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9.9475784906026217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1.032888165113381</v>
      </c>
      <c r="D103" s="31">
        <f>AVERAGE(D61,D64,D67,D70,D73,D76,D79,D82,D85,D88,D91,D94,D97,D100,)</f>
        <v>0.78823343918560751</v>
      </c>
      <c r="E103" s="31">
        <f>AVERAGE(E61,E64,E67,E70,E73,E76,E79,E82,E85,E88,E91,E94,E97,E100,)</f>
        <v>0.24465472592777346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95" x14ac:dyDescent="0.3">
      <c r="B104" s="30"/>
      <c r="C104" s="31"/>
      <c r="D104" s="31"/>
      <c r="E104" s="31"/>
      <c r="V104" s="38"/>
      <c r="W104" s="40"/>
    </row>
    <row r="105" spans="1:35" ht="16.95" x14ac:dyDescent="0.3">
      <c r="B105" s="30"/>
      <c r="C105" s="31"/>
      <c r="D105" s="31"/>
      <c r="E105" s="31"/>
      <c r="V105" s="38"/>
      <c r="W105" s="40"/>
    </row>
    <row r="106" spans="1:35" ht="16.95" x14ac:dyDescent="0.3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99999999999999" x14ac:dyDescent="0.35">
      <c r="A111" s="60">
        <f>Лист1!F$3</f>
        <v>7</v>
      </c>
      <c r="B111" s="13">
        <f>Лист1!F$10</f>
        <v>495.57660725652448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2.3359874310072315</v>
      </c>
      <c r="D111" s="15">
        <f>C111-E111</f>
        <v>1.0089257496796775</v>
      </c>
      <c r="E111" s="32">
        <f>IF(D112 &gt; $D$110,D112/$B111*100,0)</f>
        <v>1.327061681327554</v>
      </c>
      <c r="F111" s="120">
        <v>97.8</v>
      </c>
      <c r="G111" s="121">
        <v>97.8</v>
      </c>
      <c r="H111" s="121">
        <v>97.8</v>
      </c>
      <c r="I111" s="121">
        <v>97.8</v>
      </c>
      <c r="J111" s="122">
        <v>109.38242797851564</v>
      </c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500.58242797851563</v>
      </c>
      <c r="X111" s="96">
        <v>41</v>
      </c>
      <c r="Y111" s="96">
        <v>4</v>
      </c>
      <c r="Z111" s="39">
        <v>12.582427978515625</v>
      </c>
      <c r="AA111" s="97">
        <v>82.417572021484375</v>
      </c>
      <c r="AB111" s="135">
        <v>7</v>
      </c>
      <c r="AC111" s="135">
        <v>2</v>
      </c>
      <c r="AD111" s="135">
        <v>4</v>
      </c>
      <c r="AE111" s="135">
        <v>4</v>
      </c>
      <c r="AF111" s="39">
        <v>12.1</v>
      </c>
    </row>
    <row r="112" spans="1:35" ht="16.95" hidden="1" x14ac:dyDescent="0.3">
      <c r="A112" s="58"/>
      <c r="B112" s="176"/>
      <c r="C112" s="19">
        <f>$C$58*
(SIGN($F111)+SIGN($G111)+SIGN($H111)+SIGN($I111)
+SIGN($J111)+SIGN($K111)+SIGN($L111)+SIGN($M111)
+SIGN($N111)+SIGN($O111)+SIGN($P111)+SIGN($Q111)
+SIGN($R111)+SIGN($S111)+SIGN($T111)+SIGN($U111))</f>
        <v>5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6.5766072565244826</v>
      </c>
      <c r="E112" s="129">
        <f>B111</f>
        <v>495.57660725652448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95" hidden="1" x14ac:dyDescent="0.3">
      <c r="A113" s="58"/>
      <c r="B113" s="176"/>
      <c r="C113" s="22"/>
      <c r="D113" s="22"/>
      <c r="E113" s="22">
        <f>IF(B111&gt;0,(B111/ROUNDUP(ROUNDUP(((B111-($C$108*ROUNDUP(B111/$H$108,0)))/$C$107),0)/$H$107,0)-$C$108)/$C$107,0-$C$108/$C$107)</f>
        <v>8.1087042521739576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99999999999999" x14ac:dyDescent="0.35">
      <c r="A114" s="60">
        <f>Лист1!G$3</f>
        <v>7.5</v>
      </c>
      <c r="B114" s="13">
        <f>Лист1!G$10</f>
        <v>530.97493634627619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2.0104407224439238</v>
      </c>
      <c r="D114" s="15">
        <f>C114-E114</f>
        <v>0.94166403303436552</v>
      </c>
      <c r="E114" s="32">
        <f>IF(D115 &gt; $D$110,D115/$B114*100,0)</f>
        <v>1.0687766894095583</v>
      </c>
      <c r="F114" s="120">
        <v>109.9</v>
      </c>
      <c r="G114" s="121">
        <v>109.9</v>
      </c>
      <c r="H114" s="121">
        <v>109.9</v>
      </c>
      <c r="I114" s="121">
        <v>97.8</v>
      </c>
      <c r="J114" s="122">
        <v>108.83831787109369</v>
      </c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536.33831787109375</v>
      </c>
      <c r="X114" s="96">
        <v>44</v>
      </c>
      <c r="Y114" s="96">
        <v>4</v>
      </c>
      <c r="Z114" s="39">
        <v>48.33831787109375</v>
      </c>
      <c r="AA114" s="97">
        <v>46.66168212890625</v>
      </c>
      <c r="AB114" s="135">
        <v>4</v>
      </c>
      <c r="AC114" s="135">
        <v>2</v>
      </c>
      <c r="AD114" s="135">
        <v>3</v>
      </c>
      <c r="AE114" s="135">
        <v>4</v>
      </c>
      <c r="AF114" s="39">
        <v>12.1</v>
      </c>
    </row>
    <row r="115" spans="1:32" s="12" customFormat="1" ht="16.95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5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5.6749363462762403</v>
      </c>
      <c r="E115" s="129">
        <f>B114</f>
        <v>530.97493634627619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8.6938006007648951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99999999999999" x14ac:dyDescent="0.35">
      <c r="A117" s="60">
        <f>Лист1!H$3</f>
        <v>8</v>
      </c>
      <c r="B117" s="13">
        <f>Лист1!H$10</f>
        <v>566.37326543602796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1.7255873524510197</v>
      </c>
      <c r="D117" s="15">
        <f>C117-E117</f>
        <v>0.88281003096971777</v>
      </c>
      <c r="E117" s="32">
        <f>IF(D118 &gt; $D$110,D118/$B117*100,0)</f>
        <v>0.84277732148130191</v>
      </c>
      <c r="F117" s="120">
        <v>122</v>
      </c>
      <c r="G117" s="121">
        <v>122</v>
      </c>
      <c r="H117" s="121">
        <v>109.9</v>
      </c>
      <c r="I117" s="121">
        <v>109.9</v>
      </c>
      <c r="J117" s="122">
        <v>108.2941772460938</v>
      </c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572.09417724609375</v>
      </c>
      <c r="X117" s="96">
        <v>47</v>
      </c>
      <c r="Y117" s="96">
        <v>4</v>
      </c>
      <c r="Z117" s="39">
        <v>84.09417724609375</v>
      </c>
      <c r="AA117" s="97">
        <v>10.90582275390625</v>
      </c>
      <c r="AB117" s="135">
        <v>1</v>
      </c>
      <c r="AC117" s="135">
        <v>2</v>
      </c>
      <c r="AD117" s="135">
        <v>1</v>
      </c>
      <c r="AE117" s="135">
        <v>2</v>
      </c>
      <c r="AF117" s="39">
        <v>12.1</v>
      </c>
    </row>
    <row r="118" spans="1:32" s="12" customFormat="1" ht="16.95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5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4.7732654360279412</v>
      </c>
      <c r="E118" s="129">
        <f>B117</f>
        <v>566.37326543602796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9.2788969493558344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99999999999999" x14ac:dyDescent="0.35">
      <c r="A120" s="60">
        <f>Лист1!I$3</f>
        <v>8.5</v>
      </c>
      <c r="B120" s="13">
        <f>Лист1!I$10</f>
        <v>601.77159452577973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1.4742461436337702</v>
      </c>
      <c r="D120" s="15">
        <f>C120-E120</f>
        <v>1.4742461436337702</v>
      </c>
      <c r="E120" s="32">
        <f>IF(D121 &gt; $D$110,D121/$B120*100,0)</f>
        <v>0</v>
      </c>
      <c r="F120" s="120">
        <v>109.9</v>
      </c>
      <c r="G120" s="121">
        <v>97.8</v>
      </c>
      <c r="H120" s="121">
        <v>97.8</v>
      </c>
      <c r="I120" s="121">
        <v>97.8</v>
      </c>
      <c r="J120" s="122">
        <v>97.8</v>
      </c>
      <c r="K120" s="122">
        <v>106.75009765624998</v>
      </c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607.85009765625</v>
      </c>
      <c r="X120" s="96">
        <v>50</v>
      </c>
      <c r="Y120" s="96">
        <v>5</v>
      </c>
      <c r="Z120" s="39">
        <v>-2.14990234375</v>
      </c>
      <c r="AA120" s="97">
        <v>97.14990234375</v>
      </c>
      <c r="AB120" s="135">
        <v>9</v>
      </c>
      <c r="AC120" s="135">
        <v>2</v>
      </c>
      <c r="AD120" s="135">
        <v>5</v>
      </c>
      <c r="AE120" s="135">
        <v>5</v>
      </c>
      <c r="AF120" s="39"/>
    </row>
    <row r="121" spans="1:32" s="12" customFormat="1" ht="16.95" hidden="1" x14ac:dyDescent="0.3">
      <c r="A121" s="58"/>
      <c r="B121" s="175"/>
      <c r="C121" s="19">
        <f>$C$58*
(SIGN($F120)+SIGN($G120)+SIGN($H120)+SIGN($I120)
+SIGN($J120)+SIGN($K120)+SIGN($L120)+SIGN($M120)
+SIGN($N120)+SIGN($O120)+SIGN($P120)+SIGN($Q120)
+SIGN($R120)+SIGN($S120)+SIGN($T120)+SIGN($U120))</f>
        <v>6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2.8715945257797557</v>
      </c>
      <c r="E121" s="129">
        <f>B120</f>
        <v>601.77159452577973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175"/>
      <c r="C122" s="22"/>
      <c r="D122" s="22"/>
      <c r="E122" s="22">
        <f>IF(B120&gt;0,(B120/ROUNDUP(ROUNDUP(((B120-($C$108*ROUNDUP(B120/$H$108,0)))/$C$107),0)/$H$107,0)-$C$108)/$C$107,0-$C$108/$C$107)</f>
        <v>9.8639932979467737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99999999999999" x14ac:dyDescent="0.35">
      <c r="A123" s="60">
        <f>Лист1!J$3</f>
        <v>9</v>
      </c>
      <c r="B123" s="13">
        <f>Лист1!J$10</f>
        <v>637.1699236155315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1.2508317357962151</v>
      </c>
      <c r="D123" s="15">
        <f>C123-E123</f>
        <v>1.2508317357962151</v>
      </c>
      <c r="E123" s="32">
        <f>IF(D124 &gt; $D$110,D124/$B123*100,0)</f>
        <v>0</v>
      </c>
      <c r="F123" s="78">
        <v>109.9</v>
      </c>
      <c r="G123" s="79">
        <v>109.9</v>
      </c>
      <c r="H123" s="79">
        <v>109.9</v>
      </c>
      <c r="I123" s="79">
        <v>109.9</v>
      </c>
      <c r="J123" s="79">
        <v>97.8</v>
      </c>
      <c r="K123" s="79">
        <v>106.20595703125002</v>
      </c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643.60595703125</v>
      </c>
      <c r="X123" s="135">
        <v>53</v>
      </c>
      <c r="Y123" s="135">
        <v>5</v>
      </c>
      <c r="Z123" s="39">
        <v>33.60595703125</v>
      </c>
      <c r="AA123" s="39">
        <v>61.39404296875</v>
      </c>
      <c r="AB123" s="135">
        <v>6</v>
      </c>
      <c r="AC123" s="135">
        <v>2</v>
      </c>
      <c r="AD123" s="135">
        <v>3</v>
      </c>
      <c r="AE123" s="135">
        <v>5</v>
      </c>
      <c r="AF123" s="39"/>
    </row>
    <row r="124" spans="1:32" s="12" customFormat="1" ht="16.95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6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1.9699236155315702</v>
      </c>
      <c r="E124" s="129">
        <f>B123</f>
        <v>637.1699236155315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8.6938006007648969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99999999999999" x14ac:dyDescent="0.35">
      <c r="A126" s="60">
        <f>Лист1!K$3</f>
        <v>9.5</v>
      </c>
      <c r="B126" s="13">
        <f>Лист1!K$10</f>
        <v>672.56825270528316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1.05093463404679</v>
      </c>
      <c r="D126" s="15">
        <f>C126-E126</f>
        <v>1.05093463404679</v>
      </c>
      <c r="E126" s="32">
        <f>IF(D127 &gt; $D$110,D127/$B126*100,0)</f>
        <v>0</v>
      </c>
      <c r="F126" s="78">
        <v>122</v>
      </c>
      <c r="G126" s="79">
        <v>122</v>
      </c>
      <c r="H126" s="79">
        <v>109.9</v>
      </c>
      <c r="I126" s="79">
        <v>109.9</v>
      </c>
      <c r="J126" s="79">
        <v>109.9</v>
      </c>
      <c r="K126" s="79">
        <v>105.66187744140632</v>
      </c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679.36187744140625</v>
      </c>
      <c r="X126" s="135">
        <v>56</v>
      </c>
      <c r="Y126" s="135">
        <v>5</v>
      </c>
      <c r="Z126" s="39">
        <v>69.36187744140625</v>
      </c>
      <c r="AA126" s="39">
        <v>25.63812255859375</v>
      </c>
      <c r="AB126" s="135">
        <v>3</v>
      </c>
      <c r="AC126" s="135">
        <v>2</v>
      </c>
      <c r="AD126" s="135">
        <v>2</v>
      </c>
      <c r="AE126" s="135">
        <v>3</v>
      </c>
      <c r="AF126" s="39"/>
    </row>
    <row r="127" spans="1:32" s="12" customFormat="1" ht="16.95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6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1.0682527052831574</v>
      </c>
      <c r="E127" s="129">
        <f>B126</f>
        <v>672.56825270528316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9.1813808912573442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99999999999999" x14ac:dyDescent="0.35">
      <c r="A129" s="60">
        <f>Лист1!L$3</f>
        <v>10</v>
      </c>
      <c r="B129" s="13">
        <f>Лист1!L$10</f>
        <v>707.96658179503493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0.87102724247233931</v>
      </c>
      <c r="D129" s="15">
        <f>C129-E129</f>
        <v>0.87102724247233931</v>
      </c>
      <c r="E129" s="32">
        <f>IF(D130 &gt; $D$110,D130/$B129*100,0)</f>
        <v>0</v>
      </c>
      <c r="F129" s="78">
        <v>122</v>
      </c>
      <c r="G129" s="79">
        <v>122</v>
      </c>
      <c r="H129" s="79">
        <v>122</v>
      </c>
      <c r="I129" s="79">
        <v>122</v>
      </c>
      <c r="J129" s="79">
        <v>122</v>
      </c>
      <c r="K129" s="79">
        <v>105.11773681640625</v>
      </c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715.11773681640625</v>
      </c>
      <c r="X129" s="135">
        <v>59</v>
      </c>
      <c r="Y129" s="135">
        <v>5</v>
      </c>
      <c r="Z129" s="39">
        <v>105.11773681640625</v>
      </c>
      <c r="AA129" s="39"/>
      <c r="AB129" s="135"/>
      <c r="AC129" s="135"/>
      <c r="AD129" s="135"/>
      <c r="AE129" s="135"/>
      <c r="AF129" s="39"/>
    </row>
    <row r="130" spans="1:32" s="12" customFormat="1" ht="18.899999999999999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6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0.16658179503497195</v>
      </c>
      <c r="E130" s="129">
        <f>B129</f>
        <v>707.96658179503493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9.6689611817497934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99999999999999" x14ac:dyDescent="0.35">
      <c r="A132" s="60">
        <f>Лист1!M$3</f>
        <v>10.5</v>
      </c>
      <c r="B132" s="13">
        <f>Лист1!M$10</f>
        <v>743.3649108847867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0.70825388819067836</v>
      </c>
      <c r="D132" s="15">
        <f>C132-E132</f>
        <v>0.70825388819067836</v>
      </c>
      <c r="E132" s="32">
        <f>IF(D133 &gt; $D$110,D133/$B132*100,0)</f>
        <v>0</v>
      </c>
      <c r="F132" s="78">
        <v>109.9</v>
      </c>
      <c r="G132" s="79">
        <v>109.9</v>
      </c>
      <c r="H132" s="79">
        <v>109.9</v>
      </c>
      <c r="I132" s="79">
        <v>109.9</v>
      </c>
      <c r="J132" s="79">
        <v>97.8</v>
      </c>
      <c r="K132" s="79">
        <v>97.8</v>
      </c>
      <c r="L132" s="79">
        <v>115.67365722656257</v>
      </c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750.8736572265625</v>
      </c>
      <c r="X132" s="135">
        <v>62</v>
      </c>
      <c r="Y132" s="135">
        <v>6</v>
      </c>
      <c r="Z132" s="39">
        <v>18.8736572265625</v>
      </c>
      <c r="AA132" s="39">
        <v>76.1263427734375</v>
      </c>
      <c r="AB132" s="135">
        <v>7</v>
      </c>
      <c r="AC132" s="135">
        <v>2</v>
      </c>
      <c r="AD132" s="135">
        <v>4</v>
      </c>
      <c r="AE132" s="135">
        <v>6</v>
      </c>
      <c r="AF132" s="39">
        <v>12.1</v>
      </c>
    </row>
    <row r="133" spans="1:32" s="12" customFormat="1" ht="18.899999999999999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7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-1.7350891152133272</v>
      </c>
      <c r="E133" s="129">
        <f>B132</f>
        <v>743.3649108847867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8.6938006007648951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99999999999999" x14ac:dyDescent="0.35">
      <c r="A135" s="60">
        <f>Лист1!N$3</f>
        <v>11</v>
      </c>
      <c r="B135" s="13">
        <f>Лист1!N$10</f>
        <v>778.76323997453846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0.56027811157100105</v>
      </c>
      <c r="D135" s="15">
        <f>C135-E135</f>
        <v>0.56027811157100105</v>
      </c>
      <c r="E135" s="32">
        <f>IF(D136 &gt; $D$110,D136/$B135*100,0)</f>
        <v>0</v>
      </c>
      <c r="F135" s="78">
        <v>122</v>
      </c>
      <c r="G135" s="79">
        <v>109.9</v>
      </c>
      <c r="H135" s="79">
        <v>109.9</v>
      </c>
      <c r="I135" s="79">
        <v>109.9</v>
      </c>
      <c r="J135" s="79">
        <v>109.9</v>
      </c>
      <c r="K135" s="79">
        <v>109.9</v>
      </c>
      <c r="L135" s="79">
        <v>115.1295166015625</v>
      </c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786.6295166015625</v>
      </c>
      <c r="X135" s="135">
        <v>65</v>
      </c>
      <c r="Y135" s="135">
        <v>6</v>
      </c>
      <c r="Z135" s="39">
        <v>54.6295166015625</v>
      </c>
      <c r="AA135" s="39">
        <v>40.3704833984375</v>
      </c>
      <c r="AB135" s="135">
        <v>4</v>
      </c>
      <c r="AC135" s="135">
        <v>2</v>
      </c>
      <c r="AD135" s="135">
        <v>3</v>
      </c>
      <c r="AE135" s="135">
        <v>5</v>
      </c>
      <c r="AF135" s="39">
        <v>12.1</v>
      </c>
    </row>
    <row r="136" spans="1:32" s="12" customFormat="1" ht="18.899999999999999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7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-2.6367600254615127</v>
      </c>
      <c r="E136" s="129">
        <f>B135</f>
        <v>778.76323997453846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9.1117265640441385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99999999999999" x14ac:dyDescent="0.35">
      <c r="A138" s="60">
        <f>Лист1!O$3</f>
        <v>11.2</v>
      </c>
      <c r="B138" s="13">
        <f>Лист1!O$10</f>
        <v>792.92257161043915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0.80998723461671651</v>
      </c>
      <c r="D138" s="15">
        <f>C138-E138</f>
        <v>0.80998723461671651</v>
      </c>
      <c r="E138" s="32">
        <f>IF(D139 &gt; $D$110,D139/$B138*100,0)</f>
        <v>0</v>
      </c>
      <c r="F138" s="78">
        <v>122</v>
      </c>
      <c r="G138" s="79">
        <v>122</v>
      </c>
      <c r="H138" s="79">
        <v>122</v>
      </c>
      <c r="I138" s="79">
        <v>109.9</v>
      </c>
      <c r="J138" s="79">
        <v>109.9</v>
      </c>
      <c r="K138" s="79">
        <v>109.9</v>
      </c>
      <c r="L138" s="79">
        <v>105.23188476562507</v>
      </c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800.931884765625</v>
      </c>
      <c r="X138" s="135">
        <v>66</v>
      </c>
      <c r="Y138" s="135">
        <v>6</v>
      </c>
      <c r="Z138" s="39">
        <v>68.931884765625</v>
      </c>
      <c r="AA138" s="39">
        <v>26.068115234375</v>
      </c>
      <c r="AB138" s="135">
        <v>3</v>
      </c>
      <c r="AC138" s="135">
        <v>2</v>
      </c>
      <c r="AD138" s="135">
        <v>2</v>
      </c>
      <c r="AE138" s="135">
        <v>3</v>
      </c>
      <c r="AF138" s="39"/>
    </row>
    <row r="139" spans="1:32" s="12" customFormat="1" ht="18.899999999999999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7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-0.57742838956085052</v>
      </c>
      <c r="E139" s="129">
        <f>B138</f>
        <v>792.92257161043915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9.2788969493558344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99999999999999" x14ac:dyDescent="0.35">
      <c r="A141" s="60">
        <f>Лист1!P$3</f>
        <v>11.4</v>
      </c>
      <c r="B141" s="13">
        <f>Лист1!P$10</f>
        <v>807.08190324633983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1.0509346340467927</v>
      </c>
      <c r="D141" s="15">
        <f>C141-E141</f>
        <v>1.0509346340467927</v>
      </c>
      <c r="E141" s="32">
        <f>IF(D142 &gt; $D$110,D142/$B141*100,0)</f>
        <v>0</v>
      </c>
      <c r="F141" s="78">
        <v>122</v>
      </c>
      <c r="G141" s="79">
        <v>122</v>
      </c>
      <c r="H141" s="79">
        <v>122</v>
      </c>
      <c r="I141" s="79">
        <v>122</v>
      </c>
      <c r="J141" s="79">
        <v>109.9</v>
      </c>
      <c r="K141" s="79">
        <v>109.9</v>
      </c>
      <c r="L141" s="79">
        <v>107.43425292968755</v>
      </c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815.2342529296875</v>
      </c>
      <c r="X141" s="135">
        <v>67</v>
      </c>
      <c r="Y141" s="135">
        <v>6</v>
      </c>
      <c r="Z141" s="39">
        <v>83.2342529296875</v>
      </c>
      <c r="AA141" s="39">
        <v>11.7657470703125</v>
      </c>
      <c r="AB141" s="135">
        <v>1</v>
      </c>
      <c r="AC141" s="135">
        <v>2</v>
      </c>
      <c r="AD141" s="135">
        <v>1</v>
      </c>
      <c r="AE141" s="135">
        <v>2</v>
      </c>
      <c r="AF141" s="39">
        <v>12.1</v>
      </c>
    </row>
    <row r="142" spans="1:32" s="12" customFormat="1" ht="18.899999999999999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7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1.4819032463398116</v>
      </c>
      <c r="E142" s="129">
        <f>B141</f>
        <v>807.08190324633983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9.4460673346675303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99999999999999" x14ac:dyDescent="0.35">
      <c r="A144" s="60">
        <f>Лист1!Q$3</f>
        <v>11.6</v>
      </c>
      <c r="B144" s="27">
        <f>Лист1!Q$10</f>
        <v>821.24123488224052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1.2835735024620527</v>
      </c>
      <c r="D144" s="15">
        <f>C144-E144</f>
        <v>0.85236830576386535</v>
      </c>
      <c r="E144" s="32">
        <f>IF(D145 &gt; $D$110,D145/$B144*100,0)</f>
        <v>0.4312051966981873</v>
      </c>
      <c r="F144" s="85">
        <v>122</v>
      </c>
      <c r="G144" s="82">
        <v>122</v>
      </c>
      <c r="H144" s="82">
        <v>122</v>
      </c>
      <c r="I144" s="82">
        <v>122</v>
      </c>
      <c r="J144" s="82">
        <v>122</v>
      </c>
      <c r="K144" s="82">
        <v>109.9</v>
      </c>
      <c r="L144" s="82">
        <v>109.63662109375002</v>
      </c>
      <c r="M144" s="86"/>
      <c r="N144" s="38"/>
      <c r="O144" s="38"/>
      <c r="P144" s="38"/>
      <c r="Q144" s="38"/>
      <c r="R144" s="39"/>
      <c r="S144" s="102"/>
      <c r="T144" s="102"/>
      <c r="U144" s="102"/>
      <c r="V144" s="171"/>
      <c r="W144" s="28">
        <f>SUM(F144:T144)</f>
        <v>829.53662109375</v>
      </c>
      <c r="X144" s="135">
        <v>68</v>
      </c>
      <c r="Y144" s="135">
        <v>6</v>
      </c>
      <c r="Z144" s="39">
        <v>97.53662109375</v>
      </c>
      <c r="AA144" s="39"/>
      <c r="AB144" s="135"/>
      <c r="AC144" s="135">
        <v>2</v>
      </c>
      <c r="AD144" s="135">
        <v>1</v>
      </c>
      <c r="AE144" s="135">
        <v>1</v>
      </c>
      <c r="AF144" s="39">
        <v>12.1</v>
      </c>
    </row>
    <row r="145" spans="1:32" s="12" customFormat="1" ht="18.899999999999999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7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3.5412348822405875</v>
      </c>
      <c r="E145" s="129">
        <f>B144</f>
        <v>821.24123488224052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9.613237719979228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99999999999999" x14ac:dyDescent="0.35">
      <c r="A147" s="60">
        <f>Лист1!R$3</f>
        <v>11.8</v>
      </c>
      <c r="B147" s="13">
        <f>Лист1!R$10</f>
        <v>835.40056651814132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5.9919341475628558E-2</v>
      </c>
      <c r="D147" s="15">
        <f>C147-E147</f>
        <v>5.9919341475628558E-2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122</v>
      </c>
      <c r="J147" s="79">
        <v>122</v>
      </c>
      <c r="K147" s="79">
        <v>122</v>
      </c>
      <c r="L147" s="79">
        <v>111.83892822265625</v>
      </c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843.83892822265625</v>
      </c>
      <c r="X147" s="135">
        <v>69</v>
      </c>
      <c r="Y147" s="135">
        <v>6</v>
      </c>
      <c r="Z147" s="39">
        <v>111.83892822265625</v>
      </c>
      <c r="AA147" s="39"/>
      <c r="AB147" s="135"/>
      <c r="AC147" s="135"/>
      <c r="AD147" s="135"/>
      <c r="AE147" s="135"/>
      <c r="AF147" s="39"/>
    </row>
    <row r="148" spans="1:32" s="12" customFormat="1" ht="18.899999999999999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7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-6.4994334818586594</v>
      </c>
      <c r="E148" s="129">
        <f>B147</f>
        <v>835.40056651814132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9.780408105290924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99999999999999" x14ac:dyDescent="0.35">
      <c r="A150" s="60">
        <f>Лист1!S$3</f>
        <v>12</v>
      </c>
      <c r="B150" s="13">
        <f>Лист1!S$10</f>
        <v>849.559898154042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0.30132050248655246</v>
      </c>
      <c r="D150" s="15">
        <f>C150-E150</f>
        <v>0.30132050248655246</v>
      </c>
      <c r="E150" s="32">
        <f>IF(D151 &gt; $D$110,D151/$B150*100,0)</f>
        <v>0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109.9</v>
      </c>
      <c r="K150" s="88">
        <v>97.8</v>
      </c>
      <c r="L150" s="88">
        <v>97.8</v>
      </c>
      <c r="M150" s="89">
        <v>113.04129638671884</v>
      </c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858.14129638671875</v>
      </c>
      <c r="X150" s="135">
        <v>70</v>
      </c>
      <c r="Y150" s="135">
        <v>7</v>
      </c>
      <c r="Z150" s="39">
        <v>4.14129638671875</v>
      </c>
      <c r="AA150" s="141">
        <v>90.85870361328125</v>
      </c>
      <c r="AB150" s="135">
        <v>8</v>
      </c>
      <c r="AC150" s="135">
        <v>2</v>
      </c>
      <c r="AD150" s="135">
        <v>5</v>
      </c>
      <c r="AE150" s="135">
        <v>7</v>
      </c>
      <c r="AF150" s="39">
        <v>12.1</v>
      </c>
    </row>
    <row r="151" spans="1:32" s="12" customFormat="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8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-5.4401018459579973</v>
      </c>
      <c r="E151" s="129">
        <f>B150</f>
        <v>849.559898154042</v>
      </c>
      <c r="F151" s="20">
        <f>C151-F150</f>
        <v>-101.9</v>
      </c>
      <c r="G151" s="26">
        <f t="shared" ref="G151:M151" si="11">F151-G150</f>
        <v>-211.8</v>
      </c>
      <c r="H151" s="26">
        <f t="shared" si="11"/>
        <v>-321.70000000000005</v>
      </c>
      <c r="I151" s="26">
        <f t="shared" si="11"/>
        <v>-431.6</v>
      </c>
      <c r="J151" s="26">
        <f t="shared" si="11"/>
        <v>-541.5</v>
      </c>
      <c r="K151" s="26">
        <f t="shared" si="11"/>
        <v>-639.29999999999995</v>
      </c>
      <c r="L151" s="26">
        <f t="shared" si="11"/>
        <v>-737.09999999999991</v>
      </c>
      <c r="M151" s="26">
        <f t="shared" si="11"/>
        <v>-850.14129638671875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9.9475784906026217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1.032888165113381</v>
      </c>
      <c r="D153" s="31">
        <f>AVERAGE(D111,D114,D117,D120,D123,D126,D129,D132,D135,D138,D141,D144,D147,D150,)</f>
        <v>0.78823343918560751</v>
      </c>
      <c r="E153" s="31">
        <f>AVERAGE(E111,E114,E117,E120,E123,E126,E129,E132,E135,E138,E141,E144,E147,E150,)</f>
        <v>0.24465472592777346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sheetProtection formatCells="0"/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4"/>
  <dimension ref="A1:AI153"/>
  <sheetViews>
    <sheetView zoomScaleNormal="100" workbookViewId="0">
      <selection activeCell="B3" sqref="B3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Лист1!F$11</f>
        <v>409.65580110497234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2.5279273665939628</v>
      </c>
      <c r="D11" s="15">
        <f>C11-E11</f>
        <v>1.2205368474005263</v>
      </c>
      <c r="E11" s="32">
        <f>IF(D12 &gt; $D$10,D12/$B11*100,0)</f>
        <v>1.3073905191934365</v>
      </c>
      <c r="F11" s="78">
        <v>109.9</v>
      </c>
      <c r="G11" s="79">
        <v>109.9</v>
      </c>
      <c r="H11" s="79">
        <v>109.9</v>
      </c>
      <c r="I11" s="79">
        <v>84.09373168945308</v>
      </c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W11" s="17">
        <f>SUM(F11:T11)</f>
        <v>413.79373168945313</v>
      </c>
      <c r="X11" s="96">
        <v>34</v>
      </c>
      <c r="Y11" s="96">
        <v>3</v>
      </c>
      <c r="Z11" s="39">
        <v>47.793731689453125</v>
      </c>
      <c r="AA11" s="97">
        <v>7.206268310546875</v>
      </c>
      <c r="AB11" s="135">
        <v>1</v>
      </c>
      <c r="AC11" s="135">
        <v>5</v>
      </c>
      <c r="AD11" s="135">
        <v>1</v>
      </c>
      <c r="AE11" s="135">
        <v>3</v>
      </c>
      <c r="AF11" s="39">
        <v>24.2</v>
      </c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+SIGN($R11)+SIGN($S11)+SIGN($T11)+SIGN($V10))</f>
        <v>5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5.3558011049723291</v>
      </c>
      <c r="E12" s="129">
        <f>B11</f>
        <v>409.65580110497234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41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8.3813182046481884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41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Лист1!G$11</f>
        <v>438.91692975532754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0.75570786416841729</v>
      </c>
      <c r="D14" s="15">
        <f>C14-E14</f>
        <v>0.75570786416841729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109.9</v>
      </c>
      <c r="I14" s="79">
        <v>89.450433349609398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41"/>
      <c r="W14" s="17">
        <f>SUM(F14:T14)</f>
        <v>443.35043334960938</v>
      </c>
      <c r="X14" s="96">
        <v>36</v>
      </c>
      <c r="Y14" s="96">
        <v>3</v>
      </c>
      <c r="Z14" s="39">
        <v>77.350433349609375</v>
      </c>
      <c r="AA14" s="97"/>
      <c r="AC14" s="135">
        <v>5</v>
      </c>
      <c r="AD14" s="135">
        <v>1</v>
      </c>
      <c r="AE14" s="135">
        <v>1</v>
      </c>
      <c r="AF14" s="39">
        <v>12.1</v>
      </c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-0.68307024467242172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41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41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Лист1!H$11</f>
        <v>468.17805840568269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1.7895025739166479</v>
      </c>
      <c r="D17" s="15">
        <f>C17-E17</f>
        <v>0.85437579318036827</v>
      </c>
      <c r="E17" s="32">
        <f t="shared" si="2"/>
        <v>0.93512678073627964</v>
      </c>
      <c r="F17" s="78">
        <v>122</v>
      </c>
      <c r="G17" s="79">
        <v>122</v>
      </c>
      <c r="H17" s="79">
        <v>122</v>
      </c>
      <c r="I17" s="79">
        <v>106.90713500976563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41"/>
      <c r="W17" s="17">
        <f>SUM(F17:T17)</f>
        <v>472.90713500976563</v>
      </c>
      <c r="X17" s="96">
        <v>39</v>
      </c>
      <c r="Y17" s="96">
        <v>3</v>
      </c>
      <c r="Z17" s="39">
        <v>106.90713500976563</v>
      </c>
      <c r="AA17" s="97"/>
      <c r="AB17" s="135"/>
      <c r="AC17" s="135"/>
      <c r="AD17" s="135"/>
      <c r="AE17" s="135"/>
      <c r="AF17" s="39"/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4.3780584056826797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41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41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Лист1!I$11</f>
        <v>497.43918705603784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0.26921623605158579</v>
      </c>
      <c r="D20" s="15">
        <f>C20-E20</f>
        <v>0.26921623605158579</v>
      </c>
      <c r="E20" s="32">
        <f t="shared" si="2"/>
        <v>0</v>
      </c>
      <c r="F20" s="78">
        <v>109.9</v>
      </c>
      <c r="G20" s="79">
        <v>109.9</v>
      </c>
      <c r="H20" s="79">
        <v>97.8</v>
      </c>
      <c r="I20" s="79">
        <v>97.8</v>
      </c>
      <c r="J20" s="79">
        <v>87.063836669921841</v>
      </c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41"/>
      <c r="W20" s="17">
        <f>SUM(F20:T20)</f>
        <v>502.46383666992188</v>
      </c>
      <c r="X20" s="96">
        <v>41</v>
      </c>
      <c r="Y20" s="96">
        <v>4</v>
      </c>
      <c r="Z20" s="39">
        <v>14.463836669921875</v>
      </c>
      <c r="AA20" s="97">
        <v>40.536163330078125</v>
      </c>
      <c r="AB20" s="135">
        <v>4</v>
      </c>
      <c r="AC20" s="135">
        <v>5</v>
      </c>
      <c r="AD20" s="135">
        <v>2</v>
      </c>
      <c r="AE20" s="135">
        <v>4</v>
      </c>
      <c r="AF20" s="39">
        <v>24.2</v>
      </c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+SIGN($R20)+SIGN($S20)+SIGN($T20)+SIGN($V20))</f>
        <v>5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-3.660812943962128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35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35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Лист1!J$11</f>
        <v>526.70031570639298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1.21517217961207</v>
      </c>
      <c r="D23" s="15">
        <f>C23-E23</f>
        <v>1.21517217961207</v>
      </c>
      <c r="E23" s="32">
        <f t="shared" si="2"/>
        <v>0</v>
      </c>
      <c r="F23" s="78">
        <v>109.9</v>
      </c>
      <c r="G23" s="79">
        <v>109.9</v>
      </c>
      <c r="H23" s="79">
        <v>109.9</v>
      </c>
      <c r="I23" s="79">
        <v>109.9</v>
      </c>
      <c r="J23" s="79">
        <v>92.420507812499977</v>
      </c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41"/>
      <c r="W23" s="17">
        <f>SUM(F23:T23)</f>
        <v>532.0205078125</v>
      </c>
      <c r="X23" s="96">
        <v>43</v>
      </c>
      <c r="Y23" s="96">
        <v>4</v>
      </c>
      <c r="Z23" s="39">
        <v>44.0205078125</v>
      </c>
      <c r="AA23" s="141">
        <v>10.9794921875</v>
      </c>
      <c r="AB23" s="135">
        <v>1</v>
      </c>
      <c r="AC23" s="135">
        <v>5</v>
      </c>
      <c r="AD23" s="135">
        <v>1</v>
      </c>
      <c r="AE23" s="135">
        <v>4</v>
      </c>
      <c r="AF23" s="39">
        <v>36.299999999999997</v>
      </c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+SIGN($R23)+SIGN($S23)+SIGN($T23)+SIGN($V23))</f>
        <v>5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1.4003157063930303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41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41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Лист1!K$11</f>
        <v>555.96144435674819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2.0615538133240823</v>
      </c>
      <c r="D26" s="15">
        <f>C26-E26</f>
        <v>0.89934294018986138</v>
      </c>
      <c r="E26" s="32">
        <f t="shared" si="2"/>
        <v>1.1622108731342209</v>
      </c>
      <c r="F26" s="78">
        <v>122</v>
      </c>
      <c r="G26" s="79">
        <v>122</v>
      </c>
      <c r="H26" s="79">
        <v>122</v>
      </c>
      <c r="I26" s="79">
        <v>109.9</v>
      </c>
      <c r="J26" s="79">
        <v>85.677209472656273</v>
      </c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41"/>
      <c r="W26" s="17">
        <f>SUM(F26:T26)</f>
        <v>561.57720947265625</v>
      </c>
      <c r="X26" s="96">
        <v>46</v>
      </c>
      <c r="Y26" s="96">
        <v>4</v>
      </c>
      <c r="Z26" s="39">
        <v>73.57720947265625</v>
      </c>
      <c r="AA26" s="141"/>
      <c r="AB26" s="135"/>
      <c r="AC26" s="135">
        <v>5</v>
      </c>
      <c r="AD26" s="135">
        <v>1</v>
      </c>
      <c r="AE26" s="135">
        <v>1</v>
      </c>
      <c r="AF26" s="39">
        <v>12.1</v>
      </c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+SIGN($R26)+SIGN($S26)+SIGN($T26)+SIGN($V26))</f>
        <v>5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6.4614443567481885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41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41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Лист1!L$11</f>
        <v>585.22257300710339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0.75570786416841729</v>
      </c>
      <c r="D29" s="15">
        <f>C29-E29</f>
        <v>0.75570786416841729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122</v>
      </c>
      <c r="J29" s="79">
        <v>103.1339111328125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41"/>
      <c r="W29" s="17">
        <f>SUM(F29:T29)</f>
        <v>591.1339111328125</v>
      </c>
      <c r="X29" s="140">
        <v>48</v>
      </c>
      <c r="Y29" s="140">
        <v>4</v>
      </c>
      <c r="Z29" s="39">
        <v>103.1339111328125</v>
      </c>
      <c r="AA29" s="39"/>
      <c r="AB29" s="135"/>
      <c r="AC29" s="135"/>
      <c r="AD29" s="135"/>
      <c r="AE29" s="135"/>
      <c r="AF29" s="39"/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-0.5774269928965623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41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41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Лист1!M$11</f>
        <v>614.48370165745848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1.5433609763575364</v>
      </c>
      <c r="D32" s="15">
        <f>C32-E32</f>
        <v>0.97642947792042123</v>
      </c>
      <c r="E32" s="32">
        <f t="shared" si="2"/>
        <v>0.56693149843711521</v>
      </c>
      <c r="F32" s="78">
        <v>109.9</v>
      </c>
      <c r="G32" s="79">
        <v>109.9</v>
      </c>
      <c r="H32" s="79">
        <v>109.9</v>
      </c>
      <c r="I32" s="79">
        <v>97.8</v>
      </c>
      <c r="J32" s="79">
        <v>97.8</v>
      </c>
      <c r="K32" s="79">
        <v>95.390612792968682</v>
      </c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41"/>
      <c r="W32" s="17">
        <f>SUM(F32:T32)</f>
        <v>620.69061279296875</v>
      </c>
      <c r="X32" s="96">
        <v>51</v>
      </c>
      <c r="Y32" s="96">
        <v>5</v>
      </c>
      <c r="Z32" s="39">
        <v>10.69061279296875</v>
      </c>
      <c r="AA32" s="39">
        <v>44.30938720703125</v>
      </c>
      <c r="AB32" s="135">
        <v>4</v>
      </c>
      <c r="AC32" s="135">
        <v>5</v>
      </c>
      <c r="AD32" s="135">
        <v>2</v>
      </c>
      <c r="AE32" s="135">
        <v>5</v>
      </c>
      <c r="AF32" s="39">
        <v>36.299999999999997</v>
      </c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+SIGN($R32)+SIGN($S32)+SIGN($T32)+SIGN($V32))</f>
        <v>6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3.4837016574584823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41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41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Лист1!N$11</f>
        <v>643.74483030781369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0.37978251516904749</v>
      </c>
      <c r="D35" s="15">
        <f>C35-E35</f>
        <v>0.37978251516904749</v>
      </c>
      <c r="E35" s="32">
        <f t="shared" si="2"/>
        <v>0</v>
      </c>
      <c r="F35" s="78">
        <v>122</v>
      </c>
      <c r="G35" s="79">
        <v>109.9</v>
      </c>
      <c r="H35" s="79">
        <v>109.9</v>
      </c>
      <c r="I35" s="79">
        <v>109.9</v>
      </c>
      <c r="J35" s="79">
        <v>109.9</v>
      </c>
      <c r="K35" s="79">
        <v>88.647314453124977</v>
      </c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41"/>
      <c r="W35" s="17">
        <f>SUM(F35:T35)</f>
        <v>650.247314453125</v>
      </c>
      <c r="X35" s="96">
        <v>53</v>
      </c>
      <c r="Y35" s="96">
        <v>5</v>
      </c>
      <c r="Z35" s="39">
        <v>40.247314453125</v>
      </c>
      <c r="AA35" s="39">
        <v>14.752685546875</v>
      </c>
      <c r="AB35" s="135">
        <v>2</v>
      </c>
      <c r="AC35" s="135">
        <v>5</v>
      </c>
      <c r="AD35" s="135">
        <v>1</v>
      </c>
      <c r="AE35" s="135">
        <v>4</v>
      </c>
      <c r="AF35" s="39">
        <v>24.2</v>
      </c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+SIGN($R35)+SIGN($S35)+SIGN($T35)+SIGN($V35))</f>
        <v>6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-3.5551696921862685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41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41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Лист1!O$11</f>
        <v>655.44928176795577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0.31265298856201712</v>
      </c>
      <c r="D38" s="15">
        <f>C38-E38</f>
        <v>0.31265298856201712</v>
      </c>
      <c r="E38" s="32">
        <f t="shared" si="2"/>
        <v>0</v>
      </c>
      <c r="F38" s="78">
        <v>122</v>
      </c>
      <c r="G38" s="79">
        <v>122</v>
      </c>
      <c r="H38" s="79">
        <v>109.9</v>
      </c>
      <c r="I38" s="79">
        <v>109.9</v>
      </c>
      <c r="J38" s="79">
        <v>109.9</v>
      </c>
      <c r="K38" s="79">
        <v>88.370007324218818</v>
      </c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41"/>
      <c r="W38" s="17">
        <f>SUM(F38:T38)</f>
        <v>662.07000732421875</v>
      </c>
      <c r="X38" s="135">
        <v>54</v>
      </c>
      <c r="Y38" s="135">
        <v>5</v>
      </c>
      <c r="Z38" s="39">
        <v>52.07000732421875</v>
      </c>
      <c r="AA38" s="39">
        <v>2.92999267578125</v>
      </c>
      <c r="AB38" s="135">
        <v>1</v>
      </c>
      <c r="AC38" s="135">
        <v>5</v>
      </c>
      <c r="AD38" s="135">
        <v>1</v>
      </c>
      <c r="AE38" s="135">
        <v>3</v>
      </c>
      <c r="AF38" s="39">
        <v>24.2</v>
      </c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+SIGN($R38)+SIGN($S38)+SIGN($T38)+SIGN($V38))</f>
        <v>6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-3.9507182320442098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41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41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Лист1!P$11</f>
        <v>667.15373322809785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0.24787888394119839</v>
      </c>
      <c r="D41" s="15">
        <f>C41-E41</f>
        <v>0.24787888394119839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109.9</v>
      </c>
      <c r="J41" s="79">
        <v>109.9</v>
      </c>
      <c r="K41" s="79">
        <v>88.092639160156295</v>
      </c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41"/>
      <c r="W41" s="17">
        <f>SUM(F41:T41)</f>
        <v>673.89263916015625</v>
      </c>
      <c r="X41" s="135">
        <v>55</v>
      </c>
      <c r="Y41" s="135">
        <v>5</v>
      </c>
      <c r="Z41" s="39">
        <v>63.89263916015625</v>
      </c>
      <c r="AA41" s="39"/>
      <c r="AB41" s="135"/>
      <c r="AC41" s="135">
        <v>5</v>
      </c>
      <c r="AD41" s="135">
        <v>1</v>
      </c>
      <c r="AE41" s="135">
        <v>2</v>
      </c>
      <c r="AF41" s="39">
        <v>24.2</v>
      </c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+SIGN($R41)+SIGN($S41)+SIGN($T41)+SIGN($V41))</f>
        <v>6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-4.346266771902151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41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41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Лист1!Q$11</f>
        <v>678.85818468823993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0.18533836913489063</v>
      </c>
      <c r="D44" s="15">
        <f>C44-E44</f>
        <v>0.18533836913489063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109.9</v>
      </c>
      <c r="K44" s="82">
        <v>87.815332031250023</v>
      </c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71"/>
      <c r="W44" s="28">
        <f>SUM(F44:T44)</f>
        <v>685.71533203125</v>
      </c>
      <c r="X44" s="135">
        <v>56</v>
      </c>
      <c r="Y44" s="135">
        <v>5</v>
      </c>
      <c r="Z44" s="39">
        <v>75.71533203125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+SIGN($R44)+SIGN($S44)+SIGN($T44)+SIGN($V44))</f>
        <v>6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-4.7418153117600923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41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41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Лист1!R$11</f>
        <v>690.56263614838201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0.12491787177966061</v>
      </c>
      <c r="D47" s="15">
        <f>C47-E47</f>
        <v>0.12491787177966061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122</v>
      </c>
      <c r="K47" s="79">
        <v>87.53802490234375</v>
      </c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41"/>
      <c r="W47" s="17">
        <f>SUM(F47:T47)</f>
        <v>697.53802490234375</v>
      </c>
      <c r="X47" s="135">
        <v>57</v>
      </c>
      <c r="Y47" s="135">
        <v>5</v>
      </c>
      <c r="Z47" s="39">
        <v>87.53802490234375</v>
      </c>
      <c r="AA47" s="39"/>
      <c r="AB47" s="135"/>
      <c r="AC47" s="135"/>
      <c r="AD47" s="135"/>
      <c r="AE47" s="135"/>
      <c r="AF47" s="39"/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+SIGN($R47)+SIGN($S47)+SIGN($T47)+SIGN($V47))</f>
        <v>6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-5.1373638516179199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41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41"/>
      <c r="W49" s="17"/>
    </row>
    <row r="50" spans="1:35" ht="18.899999999999999" x14ac:dyDescent="0.35">
      <c r="A50" s="60">
        <f>Лист1!S$3</f>
        <v>12</v>
      </c>
      <c r="B50" s="224">
        <f>Лист1!S$11</f>
        <v>702.26708760852398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6.6511391002905915E-2</v>
      </c>
      <c r="D50" s="15">
        <f>C50-E50</f>
        <v>6.6511391002905915E-2</v>
      </c>
      <c r="E50" s="32">
        <f t="shared" si="2"/>
        <v>0</v>
      </c>
      <c r="F50" s="87">
        <v>122</v>
      </c>
      <c r="G50" s="88">
        <v>122</v>
      </c>
      <c r="H50" s="88">
        <v>122</v>
      </c>
      <c r="I50" s="88">
        <v>122</v>
      </c>
      <c r="J50" s="88">
        <v>122</v>
      </c>
      <c r="K50" s="88">
        <v>99.3607177734375</v>
      </c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41"/>
      <c r="W50" s="17">
        <f>SUM(F50:T50)</f>
        <v>709.3607177734375</v>
      </c>
      <c r="X50" s="135">
        <v>58</v>
      </c>
      <c r="Y50" s="135">
        <v>5</v>
      </c>
      <c r="Z50" s="39">
        <v>99.3607177734375</v>
      </c>
      <c r="AA50" s="141"/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6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-5.5329123914759748</v>
      </c>
      <c r="E51" s="129">
        <f>B50</f>
        <v>702.26708760852398</v>
      </c>
      <c r="F51" s="20">
        <f>C51-F50</f>
        <v>-116</v>
      </c>
      <c r="G51" s="26">
        <f t="shared" ref="G51:M51" si="3">F51-G50</f>
        <v>-238</v>
      </c>
      <c r="H51" s="26">
        <f t="shared" si="3"/>
        <v>-360</v>
      </c>
      <c r="I51" s="26">
        <f t="shared" si="3"/>
        <v>-482</v>
      </c>
      <c r="J51" s="26">
        <f t="shared" si="3"/>
        <v>-604</v>
      </c>
      <c r="K51" s="26">
        <f t="shared" si="3"/>
        <v>-703.3607177734375</v>
      </c>
      <c r="L51" s="26">
        <f t="shared" si="3"/>
        <v>-703.3607177734375</v>
      </c>
      <c r="M51" s="26">
        <f t="shared" si="3"/>
        <v>-703.3607177734375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9.5904557521835265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0.81568205958549611</v>
      </c>
      <c r="D53" s="31">
        <f>AVERAGE(D11,D14,D17,D20,D23,D26,D29,D32,D35,D38,D41,D44,D47,D50,)</f>
        <v>0.55090474815209245</v>
      </c>
      <c r="E53" s="31">
        <f>AVERAGE(E11,E14,E17,E20,E23,E26,E29,E32,E35,E38,E41,E44,E47,E50,)</f>
        <v>0.26477731143340344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9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9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95" x14ac:dyDescent="0.3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99999999999999" x14ac:dyDescent="0.35">
      <c r="A61" s="60">
        <f>Лист1!F$3</f>
        <v>7</v>
      </c>
      <c r="B61" s="13">
        <f>Лист1!F$11</f>
        <v>409.65580110497234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2.5279273665939628</v>
      </c>
      <c r="D61" s="15">
        <f>C61-E61</f>
        <v>0.97642947792042123</v>
      </c>
      <c r="E61" s="32">
        <f>IF(D62 &gt; $D$60,D62/$B61*100,0)</f>
        <v>1.5514978886735415</v>
      </c>
      <c r="F61" s="78">
        <v>109.9</v>
      </c>
      <c r="G61" s="79">
        <v>109.9</v>
      </c>
      <c r="H61" s="79">
        <v>97.8</v>
      </c>
      <c r="I61" s="79">
        <v>96.193731689453102</v>
      </c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41"/>
      <c r="W61" s="17">
        <f t="shared" ref="W61:W70" si="6">SUM(F61:T61)</f>
        <v>413.79373168945313</v>
      </c>
      <c r="X61" s="96">
        <v>34</v>
      </c>
      <c r="Y61" s="96">
        <v>3</v>
      </c>
      <c r="Z61" s="39">
        <v>47.793731689453125</v>
      </c>
      <c r="AA61" s="97">
        <v>27.206268310546875</v>
      </c>
      <c r="AB61" s="135">
        <v>3</v>
      </c>
      <c r="AC61" s="135">
        <v>3</v>
      </c>
      <c r="AD61" s="135">
        <v>2</v>
      </c>
      <c r="AE61" s="135">
        <v>3</v>
      </c>
      <c r="AF61" s="39">
        <v>12.1</v>
      </c>
    </row>
    <row r="62" spans="1:35" ht="16.95" hidden="1" x14ac:dyDescent="0.3">
      <c r="A62" s="58"/>
      <c r="B62" s="193"/>
      <c r="C62" s="19">
        <f>$C$58*
(SIGN($F61)+SIGN($G61)+SIGN($H61)+SIGN($I61)
+SIGN($J61)+SIGN($K61)+SIGN($L61)+SIGN($M61)
+SIGN($N61)+SIGN($O61)+SIGN($P61)+SIGN($Q61)
+SIGN($R61)+SIGN($S61)+SIGN($T61)+SIGN($V61))</f>
        <v>4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6.3558011049723291</v>
      </c>
      <c r="E62" s="129">
        <f>B61</f>
        <v>409.65580110497234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41"/>
      <c r="W62" s="17"/>
      <c r="X62" s="96"/>
      <c r="Y62" s="96"/>
      <c r="AA62" s="97"/>
    </row>
    <row r="63" spans="1:35" ht="16.95" hidden="1" x14ac:dyDescent="0.3">
      <c r="A63" s="58"/>
      <c r="B63" s="193"/>
      <c r="C63" s="22"/>
      <c r="D63" s="22"/>
      <c r="E63" s="22">
        <f>IF(B61&gt;0,(B61/ROUNDUP(ROUNDUP(((B61-($C$58*ROUNDUP(B61/$H$58,0)))/$C$57),0)/$H$57,0)-$C$58)/$C$57,0-$C$58/$C$57)</f>
        <v>8.3813182046481884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41"/>
      <c r="W63" s="17"/>
      <c r="X63" s="96"/>
      <c r="Y63" s="96"/>
      <c r="AA63" s="97"/>
    </row>
    <row r="64" spans="1:35" ht="18.899999999999999" x14ac:dyDescent="0.35">
      <c r="A64" s="60">
        <f>Лист1!G$3</f>
        <v>7.5</v>
      </c>
      <c r="B64" s="13">
        <f>Лист1!G$11</f>
        <v>438.91692975532754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0.75570786416841729</v>
      </c>
      <c r="D64" s="15">
        <f>C64-E64</f>
        <v>0.75570786416841729</v>
      </c>
      <c r="E64" s="32">
        <f t="shared" ref="E64:E100" si="7">IF(D65 &gt; $D$60,D65/$B64*100,0)</f>
        <v>0</v>
      </c>
      <c r="F64" s="78">
        <v>122</v>
      </c>
      <c r="G64" s="79">
        <v>109.9</v>
      </c>
      <c r="H64" s="79">
        <v>109.9</v>
      </c>
      <c r="I64" s="79">
        <v>101.55043334960936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41"/>
      <c r="W64" s="17">
        <f t="shared" si="6"/>
        <v>443.35043334960938</v>
      </c>
      <c r="X64" s="96">
        <v>36</v>
      </c>
      <c r="Y64" s="96">
        <v>3</v>
      </c>
      <c r="Z64" s="39">
        <v>77.350433349609375</v>
      </c>
      <c r="AA64" s="97"/>
      <c r="AC64" s="135">
        <v>3</v>
      </c>
      <c r="AD64" s="135">
        <v>1</v>
      </c>
      <c r="AE64" s="135">
        <v>2</v>
      </c>
      <c r="AF64" s="39">
        <v>24.2</v>
      </c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-0.68307024467242172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41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41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99999999999999" x14ac:dyDescent="0.35">
      <c r="A67" s="60">
        <f>Лист1!H$3</f>
        <v>8</v>
      </c>
      <c r="B67" s="13">
        <f>Лист1!H$11</f>
        <v>468.17805840568269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1.7895025739166479</v>
      </c>
      <c r="D67" s="15">
        <f>C67-E67</f>
        <v>0.85437579318036827</v>
      </c>
      <c r="E67" s="32">
        <f t="shared" si="7"/>
        <v>0.93512678073627964</v>
      </c>
      <c r="F67" s="78">
        <v>122</v>
      </c>
      <c r="G67" s="79">
        <v>122</v>
      </c>
      <c r="H67" s="79">
        <v>122</v>
      </c>
      <c r="I67" s="79">
        <v>106.90713500976563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41"/>
      <c r="W67" s="17">
        <f t="shared" si="6"/>
        <v>472.90713500976563</v>
      </c>
      <c r="X67" s="96">
        <v>39</v>
      </c>
      <c r="Y67" s="96">
        <v>3</v>
      </c>
      <c r="Z67" s="39">
        <v>106.90713500976563</v>
      </c>
      <c r="AA67" s="97"/>
      <c r="AB67" s="135"/>
      <c r="AC67" s="135"/>
      <c r="AD67" s="135"/>
      <c r="AE67" s="135"/>
      <c r="AF67" s="39"/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4.3780584056826797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41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41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99999999999999" x14ac:dyDescent="0.35">
      <c r="A70" s="60">
        <f>Лист1!I$3</f>
        <v>8.5</v>
      </c>
      <c r="B70" s="13">
        <f>Лист1!I$11</f>
        <v>497.43918705603784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0.26921623605158579</v>
      </c>
      <c r="D70" s="15">
        <f>C70-E70</f>
        <v>0.26921623605158579</v>
      </c>
      <c r="E70" s="32">
        <f t="shared" si="7"/>
        <v>0</v>
      </c>
      <c r="F70" s="78">
        <v>109.9</v>
      </c>
      <c r="G70" s="79">
        <v>97.8</v>
      </c>
      <c r="H70" s="79">
        <v>97.8</v>
      </c>
      <c r="I70" s="79">
        <v>97.8</v>
      </c>
      <c r="J70" s="107">
        <v>99.163836669921864</v>
      </c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41"/>
      <c r="W70" s="17">
        <f t="shared" si="6"/>
        <v>502.46383666992188</v>
      </c>
      <c r="X70" s="96">
        <v>41</v>
      </c>
      <c r="Y70" s="96">
        <v>4</v>
      </c>
      <c r="Z70" s="39">
        <v>14.463836669921875</v>
      </c>
      <c r="AA70" s="97">
        <v>60.536163330078125</v>
      </c>
      <c r="AB70" s="135">
        <v>6</v>
      </c>
      <c r="AC70" s="135">
        <v>3</v>
      </c>
      <c r="AD70" s="135">
        <v>3</v>
      </c>
      <c r="AE70" s="135">
        <v>4</v>
      </c>
      <c r="AF70" s="39">
        <v>12.1</v>
      </c>
    </row>
    <row r="71" spans="1:32" s="12" customFormat="1" ht="16.95" hidden="1" x14ac:dyDescent="0.3">
      <c r="A71" s="58"/>
      <c r="B71" s="192"/>
      <c r="C71" s="19">
        <f>$C$58*
(SIGN($F70)+SIGN($G70)+SIGN($H70)+SIGN($I70)
+SIGN($J70)+SIGN($K70)+SIGN($L70)+SIGN($M70)
+SIGN($N70)+SIGN($O70)+SIGN($P70)+SIGN($Q70)
+SIGN($R70)+SIGN($S70)+SIGN($T70)+SIGN($V70))</f>
        <v>5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-3.660812943962128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35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192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35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99999999999999" x14ac:dyDescent="0.35">
      <c r="A73" s="60">
        <f>Лист1!J$3</f>
        <v>9</v>
      </c>
      <c r="B73" s="13">
        <f>Лист1!J$11</f>
        <v>526.70031570639298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1.21517217961207</v>
      </c>
      <c r="D73" s="15">
        <f>C73-E73</f>
        <v>1.21517217961207</v>
      </c>
      <c r="E73" s="32">
        <f t="shared" si="7"/>
        <v>0</v>
      </c>
      <c r="F73" s="78">
        <v>109.9</v>
      </c>
      <c r="G73" s="79">
        <v>109.9</v>
      </c>
      <c r="H73" s="79">
        <v>109.9</v>
      </c>
      <c r="I73" s="79">
        <v>97.8</v>
      </c>
      <c r="J73" s="79">
        <v>104.52050781249994</v>
      </c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41"/>
      <c r="W73" s="17">
        <f>SUM(F73:T73)</f>
        <v>532.0205078125</v>
      </c>
      <c r="X73" s="135">
        <v>43</v>
      </c>
      <c r="Y73" s="135">
        <v>4</v>
      </c>
      <c r="Z73" s="39">
        <v>44.0205078125</v>
      </c>
      <c r="AA73" s="141">
        <v>30.9794921875</v>
      </c>
      <c r="AB73" s="135">
        <v>3</v>
      </c>
      <c r="AC73" s="135">
        <v>3</v>
      </c>
      <c r="AD73" s="135">
        <v>2</v>
      </c>
      <c r="AE73" s="135">
        <v>4</v>
      </c>
      <c r="AF73" s="39">
        <v>24.2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5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1.4003157063930303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41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41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99999999999999" x14ac:dyDescent="0.35">
      <c r="A76" s="60">
        <f>Лист1!K$3</f>
        <v>9.5</v>
      </c>
      <c r="B76" s="13">
        <f>Лист1!K$11</f>
        <v>555.96144435674819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2.0615538133240823</v>
      </c>
      <c r="D76" s="15">
        <f>C76-E76</f>
        <v>0.89934294018986138</v>
      </c>
      <c r="E76" s="32">
        <f t="shared" si="7"/>
        <v>1.1622108731342209</v>
      </c>
      <c r="F76" s="78">
        <v>122</v>
      </c>
      <c r="G76" s="79">
        <v>122</v>
      </c>
      <c r="H76" s="79">
        <v>109.9</v>
      </c>
      <c r="I76" s="79">
        <v>109.9</v>
      </c>
      <c r="J76" s="79">
        <v>97.777209472656295</v>
      </c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41"/>
      <c r="W76" s="17">
        <f>SUM(F76:T76)</f>
        <v>561.57720947265625</v>
      </c>
      <c r="X76" s="135">
        <v>46</v>
      </c>
      <c r="Y76" s="135">
        <v>4</v>
      </c>
      <c r="Z76" s="39">
        <v>73.57720947265625</v>
      </c>
      <c r="AA76" s="39">
        <v>1.42279052734375</v>
      </c>
      <c r="AB76" s="135">
        <v>1</v>
      </c>
      <c r="AC76" s="135">
        <v>3</v>
      </c>
      <c r="AD76" s="135">
        <v>1</v>
      </c>
      <c r="AE76" s="135">
        <v>2</v>
      </c>
      <c r="AF76" s="39">
        <v>12.1</v>
      </c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5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6.4614443567481885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41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41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99999999999999" x14ac:dyDescent="0.35">
      <c r="A79" s="60">
        <f>Лист1!L$3</f>
        <v>10</v>
      </c>
      <c r="B79" s="13">
        <f>Лист1!L$11</f>
        <v>585.22257300710339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0.75570786416841729</v>
      </c>
      <c r="D79" s="15">
        <f>C79-E79</f>
        <v>0.75570786416841729</v>
      </c>
      <c r="E79" s="32">
        <f t="shared" si="7"/>
        <v>0</v>
      </c>
      <c r="F79" s="78">
        <v>122</v>
      </c>
      <c r="G79" s="79">
        <v>122</v>
      </c>
      <c r="H79" s="79">
        <v>122</v>
      </c>
      <c r="I79" s="79">
        <v>122</v>
      </c>
      <c r="J79" s="79">
        <v>103.1339111328125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41"/>
      <c r="W79" s="17">
        <f>SUM(F79:T79)</f>
        <v>591.1339111328125</v>
      </c>
      <c r="X79" s="135">
        <v>48</v>
      </c>
      <c r="Y79" s="135">
        <v>4</v>
      </c>
      <c r="Z79" s="39">
        <v>103.1339111328125</v>
      </c>
      <c r="AA79" s="39"/>
      <c r="AB79" s="135"/>
      <c r="AC79" s="135"/>
      <c r="AD79" s="135"/>
      <c r="AE79" s="135"/>
      <c r="AF79" s="39"/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-0.5774269928965623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41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41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99999999999999" x14ac:dyDescent="0.35">
      <c r="A82" s="60">
        <f>Лист1!M$3</f>
        <v>10.5</v>
      </c>
      <c r="B82" s="13">
        <f>Лист1!M$11</f>
        <v>614.48370165745848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1.5433609763575364</v>
      </c>
      <c r="D82" s="15">
        <f>C82-E82</f>
        <v>0.97642947792042123</v>
      </c>
      <c r="E82" s="32">
        <f t="shared" si="7"/>
        <v>0.56693149843711521</v>
      </c>
      <c r="F82" s="78">
        <v>109.9</v>
      </c>
      <c r="G82" s="79">
        <v>109.9</v>
      </c>
      <c r="H82" s="79">
        <v>109.9</v>
      </c>
      <c r="I82" s="79">
        <v>97.8</v>
      </c>
      <c r="J82" s="79">
        <v>97.8</v>
      </c>
      <c r="K82" s="79">
        <v>95.390612792968682</v>
      </c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41"/>
      <c r="W82" s="17">
        <f>SUM(F82:T82)</f>
        <v>620.69061279296875</v>
      </c>
      <c r="X82" s="135">
        <v>51</v>
      </c>
      <c r="Y82" s="135">
        <v>5</v>
      </c>
      <c r="Z82" s="39">
        <v>10.69061279296875</v>
      </c>
      <c r="AA82" s="39">
        <v>64.30938720703125</v>
      </c>
      <c r="AB82" s="135">
        <v>6</v>
      </c>
      <c r="AC82" s="135">
        <v>3</v>
      </c>
      <c r="AD82" s="135">
        <v>3</v>
      </c>
      <c r="AE82" s="135">
        <v>5</v>
      </c>
      <c r="AF82" s="39">
        <v>12.1</v>
      </c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6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3.4837016574584823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41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41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99999999999999" x14ac:dyDescent="0.35">
      <c r="A85" s="60">
        <f>Лист1!N$3</f>
        <v>11</v>
      </c>
      <c r="B85" s="13">
        <f>Лист1!N$11</f>
        <v>643.74483030781369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0.37978251516904749</v>
      </c>
      <c r="D85" s="15">
        <f>C85-E85</f>
        <v>0.37978251516904749</v>
      </c>
      <c r="E85" s="32">
        <f t="shared" si="7"/>
        <v>0</v>
      </c>
      <c r="F85" s="78">
        <v>109.9</v>
      </c>
      <c r="G85" s="79">
        <v>109.9</v>
      </c>
      <c r="H85" s="79">
        <v>109.9</v>
      </c>
      <c r="I85" s="79">
        <v>109.9</v>
      </c>
      <c r="J85" s="79">
        <v>109.9</v>
      </c>
      <c r="K85" s="79">
        <v>100.747314453125</v>
      </c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41"/>
      <c r="W85" s="17">
        <f>SUM(F85:T85)</f>
        <v>650.247314453125</v>
      </c>
      <c r="X85" s="135">
        <v>53</v>
      </c>
      <c r="Y85" s="135">
        <v>5</v>
      </c>
      <c r="Z85" s="39">
        <v>40.247314453125</v>
      </c>
      <c r="AA85" s="39">
        <v>34.752685546875</v>
      </c>
      <c r="AB85" s="135">
        <v>3</v>
      </c>
      <c r="AC85" s="135">
        <v>3</v>
      </c>
      <c r="AD85" s="135">
        <v>2</v>
      </c>
      <c r="AE85" s="135">
        <v>5</v>
      </c>
      <c r="AF85" s="39">
        <v>24.2</v>
      </c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6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-3.5551696921862685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41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41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99999999999999" x14ac:dyDescent="0.35">
      <c r="A88" s="60">
        <f>Лист1!O$3</f>
        <v>11.2</v>
      </c>
      <c r="B88" s="13">
        <f>Лист1!O$11</f>
        <v>655.44928176795577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0.31265298856201712</v>
      </c>
      <c r="D88" s="15">
        <f>C88-E88</f>
        <v>0.31265298856201712</v>
      </c>
      <c r="E88" s="32">
        <f t="shared" si="7"/>
        <v>0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109.9</v>
      </c>
      <c r="K88" s="79">
        <v>100.47000732421873</v>
      </c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41"/>
      <c r="W88" s="17">
        <f>SUM(F88:T88)</f>
        <v>662.07000732421875</v>
      </c>
      <c r="X88" s="135">
        <v>54</v>
      </c>
      <c r="Y88" s="135">
        <v>5</v>
      </c>
      <c r="Z88" s="39">
        <v>52.07000732421875</v>
      </c>
      <c r="AA88" s="39">
        <v>22.92999267578125</v>
      </c>
      <c r="AB88" s="135">
        <v>2</v>
      </c>
      <c r="AC88" s="135">
        <v>3</v>
      </c>
      <c r="AD88" s="135">
        <v>2</v>
      </c>
      <c r="AE88" s="135">
        <v>4</v>
      </c>
      <c r="AF88" s="39">
        <v>24.2</v>
      </c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6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-3.9507182320442098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41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41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99999999999999" x14ac:dyDescent="0.35">
      <c r="A91" s="60">
        <f>Лист1!P$3</f>
        <v>11.4</v>
      </c>
      <c r="B91" s="13">
        <f>Лист1!P$11</f>
        <v>667.15373322809785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0.24787888394119839</v>
      </c>
      <c r="D91" s="15">
        <f>C91-E91</f>
        <v>0.24787888394119839</v>
      </c>
      <c r="E91" s="32">
        <f t="shared" si="7"/>
        <v>0</v>
      </c>
      <c r="F91" s="78">
        <v>122</v>
      </c>
      <c r="G91" s="79">
        <v>122</v>
      </c>
      <c r="H91" s="79">
        <v>109.9</v>
      </c>
      <c r="I91" s="79">
        <v>109.9</v>
      </c>
      <c r="J91" s="79">
        <v>109.9</v>
      </c>
      <c r="K91" s="79">
        <v>100.19263916015632</v>
      </c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41"/>
      <c r="W91" s="17">
        <f>SUM(F91:T91)</f>
        <v>673.89263916015625</v>
      </c>
      <c r="X91" s="135">
        <v>55</v>
      </c>
      <c r="Y91" s="135">
        <v>5</v>
      </c>
      <c r="Z91" s="39">
        <v>63.89263916015625</v>
      </c>
      <c r="AA91" s="39">
        <v>11.10736083984375</v>
      </c>
      <c r="AB91" s="135">
        <v>1</v>
      </c>
      <c r="AC91" s="135">
        <v>3</v>
      </c>
      <c r="AD91" s="135">
        <v>1</v>
      </c>
      <c r="AE91" s="135">
        <v>3</v>
      </c>
      <c r="AF91" s="39">
        <v>24.2</v>
      </c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6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-4.346266771902151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41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41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99999999999999" x14ac:dyDescent="0.35">
      <c r="A94" s="60">
        <f>Лист1!Q$3</f>
        <v>11.6</v>
      </c>
      <c r="B94" s="27">
        <f>Лист1!Q$11</f>
        <v>678.85818468823993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0.18533836913489063</v>
      </c>
      <c r="D94" s="15">
        <f>C94-E94</f>
        <v>0.18533836913489063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109.9</v>
      </c>
      <c r="J94" s="82">
        <v>109.9</v>
      </c>
      <c r="K94" s="82">
        <v>99.915332031250045</v>
      </c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71"/>
      <c r="W94" s="28">
        <f>SUM(F94:T94)</f>
        <v>685.71533203125</v>
      </c>
      <c r="X94" s="135">
        <v>56</v>
      </c>
      <c r="Y94" s="135">
        <v>5</v>
      </c>
      <c r="Z94" s="39">
        <v>75.71533203125</v>
      </c>
      <c r="AA94" s="39"/>
      <c r="AB94" s="135"/>
      <c r="AC94" s="135">
        <v>3</v>
      </c>
      <c r="AD94" s="135">
        <v>1</v>
      </c>
      <c r="AE94" s="135">
        <v>2</v>
      </c>
      <c r="AF94" s="39">
        <v>24.2</v>
      </c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6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-4.7418153117600923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41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41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99999999999999" x14ac:dyDescent="0.35">
      <c r="A97" s="60">
        <f>Лист1!R$3</f>
        <v>11.8</v>
      </c>
      <c r="B97" s="13">
        <f>Лист1!R$11</f>
        <v>690.56263614838201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0.12491787177966061</v>
      </c>
      <c r="D97" s="15">
        <f>C97-E97</f>
        <v>0.12491787177966061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109.9</v>
      </c>
      <c r="K97" s="79">
        <v>99.638024902343773</v>
      </c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41"/>
      <c r="W97" s="17">
        <f>SUM(F97:T97)</f>
        <v>697.53802490234375</v>
      </c>
      <c r="X97" s="135">
        <v>57</v>
      </c>
      <c r="Y97" s="135">
        <v>5</v>
      </c>
      <c r="Z97" s="39">
        <v>87.53802490234375</v>
      </c>
      <c r="AC97" s="135">
        <v>3</v>
      </c>
      <c r="AD97" s="135">
        <v>1</v>
      </c>
      <c r="AE97" s="135">
        <v>1</v>
      </c>
      <c r="AF97" s="39">
        <v>12.1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6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-5.1373638516179199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41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41"/>
      <c r="W99" s="17"/>
    </row>
    <row r="100" spans="1:35" ht="18.899999999999999" x14ac:dyDescent="0.35">
      <c r="A100" s="60">
        <f>Лист1!S$3</f>
        <v>12</v>
      </c>
      <c r="B100" s="13">
        <f>Лист1!S$11</f>
        <v>702.26708760852398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6.6511391002905915E-2</v>
      </c>
      <c r="D100" s="15">
        <f>C100-E100</f>
        <v>6.6511391002905915E-2</v>
      </c>
      <c r="E100" s="32">
        <f t="shared" si="7"/>
        <v>0</v>
      </c>
      <c r="F100" s="88">
        <v>122</v>
      </c>
      <c r="G100" s="88">
        <v>122</v>
      </c>
      <c r="H100" s="88">
        <v>122</v>
      </c>
      <c r="I100" s="88">
        <v>122</v>
      </c>
      <c r="J100" s="88">
        <v>122</v>
      </c>
      <c r="K100" s="88">
        <v>99.3607177734375</v>
      </c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41"/>
      <c r="W100" s="17">
        <f>SUM(F100:T100)</f>
        <v>709.3607177734375</v>
      </c>
      <c r="X100" s="135">
        <v>58</v>
      </c>
      <c r="Y100" s="135">
        <v>5</v>
      </c>
      <c r="Z100" s="39">
        <v>99.3607177734375</v>
      </c>
      <c r="AA100" s="141"/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6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-5.5329123914759748</v>
      </c>
      <c r="E101" s="129">
        <f>B100</f>
        <v>702.26708760852398</v>
      </c>
      <c r="F101" s="20">
        <f>C101-F100</f>
        <v>-116</v>
      </c>
      <c r="G101" s="26">
        <f t="shared" ref="G101:M101" si="8">F101-G100</f>
        <v>-238</v>
      </c>
      <c r="H101" s="26">
        <f t="shared" si="8"/>
        <v>-360</v>
      </c>
      <c r="I101" s="26">
        <f t="shared" si="8"/>
        <v>-482</v>
      </c>
      <c r="J101" s="26">
        <f t="shared" si="8"/>
        <v>-604</v>
      </c>
      <c r="K101" s="26">
        <f t="shared" si="8"/>
        <v>-703.3607177734375</v>
      </c>
      <c r="L101" s="26">
        <f t="shared" si="8"/>
        <v>-703.3607177734375</v>
      </c>
      <c r="M101" s="26">
        <f t="shared" si="8"/>
        <v>-703.3607177734375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9.5904557521835265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0.81568205958549611</v>
      </c>
      <c r="D103" s="31">
        <f>AVERAGE(D61,D64,D67,D70,D73,D76,D79,D82,D85,D88,D91,D94,D97,D100,)</f>
        <v>0.53463092352008545</v>
      </c>
      <c r="E103" s="31">
        <f>AVERAGE(E61,E64,E67,E70,E73,E76,E79,E82,E85,E88,E91,E94,E97,E100,)</f>
        <v>0.28105113606541049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95" x14ac:dyDescent="0.3">
      <c r="B104" s="30"/>
      <c r="C104" s="31"/>
      <c r="D104" s="31"/>
      <c r="E104" s="31"/>
      <c r="V104" s="38"/>
      <c r="W104" s="40"/>
    </row>
    <row r="105" spans="1:35" ht="16.95" x14ac:dyDescent="0.3">
      <c r="B105" s="30"/>
      <c r="C105" s="31"/>
      <c r="D105" s="31"/>
      <c r="E105" s="31"/>
      <c r="V105" s="38"/>
      <c r="W105" s="40"/>
    </row>
    <row r="106" spans="1:35" ht="16.95" x14ac:dyDescent="0.3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99999999999999" x14ac:dyDescent="0.35">
      <c r="A111" s="60">
        <f>Лист1!F$3</f>
        <v>7</v>
      </c>
      <c r="B111" s="13">
        <f>Лист1!F$11</f>
        <v>409.65580110497234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2.5279273665939628</v>
      </c>
      <c r="D111" s="15">
        <f>C111-E111</f>
        <v>0.97642947792042123</v>
      </c>
      <c r="E111" s="32">
        <f>IF(D112 &gt; $D$110,D112/$B111*100,0)</f>
        <v>1.5514978886735415</v>
      </c>
      <c r="F111" s="120">
        <v>109.9</v>
      </c>
      <c r="G111" s="121">
        <v>97.8</v>
      </c>
      <c r="H111" s="121">
        <v>97.8</v>
      </c>
      <c r="I111" s="121">
        <v>108.29373168945313</v>
      </c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41"/>
      <c r="W111" s="17">
        <f>SUM(F111:T111)</f>
        <v>413.79373168945313</v>
      </c>
      <c r="X111" s="96">
        <v>34</v>
      </c>
      <c r="Y111" s="96">
        <v>3</v>
      </c>
      <c r="Z111" s="39">
        <v>47.793731689453125</v>
      </c>
      <c r="AA111" s="97">
        <v>47.206268310546875</v>
      </c>
      <c r="AB111" s="135">
        <v>4</v>
      </c>
      <c r="AC111" s="135">
        <v>2</v>
      </c>
      <c r="AD111" s="135">
        <v>3</v>
      </c>
      <c r="AE111" s="135">
        <v>3</v>
      </c>
      <c r="AF111" s="39">
        <v>12.1</v>
      </c>
    </row>
    <row r="112" spans="1:35" ht="16.95" hidden="1" x14ac:dyDescent="0.3">
      <c r="A112" s="58"/>
      <c r="B112" s="193"/>
      <c r="C112" s="19">
        <f>$C$58*
(SIGN($F111)+SIGN($G111)+SIGN($H111)+SIGN($I111)
+SIGN($J111)+SIGN($K111)+SIGN($L111)+SIGN($M111)
+SIGN($N111)+SIGN($O111)+SIGN($P111)+SIGN($Q111)
+SIGN($R111)+SIGN($S111)+SIGN($T111)+SIGN($U111))</f>
        <v>4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6.3558011049723291</v>
      </c>
      <c r="E112" s="129">
        <f>B111</f>
        <v>409.65580110497234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35"/>
      <c r="W112" s="35"/>
      <c r="X112" s="96"/>
      <c r="Y112" s="96"/>
      <c r="AA112" s="97"/>
    </row>
    <row r="113" spans="1:32" s="12" customFormat="1" ht="16.95" hidden="1" x14ac:dyDescent="0.3">
      <c r="A113" s="58"/>
      <c r="B113" s="193"/>
      <c r="C113" s="22"/>
      <c r="D113" s="22"/>
      <c r="E113" s="22">
        <f>IF(B111&gt;0,(B111/ROUNDUP(ROUNDUP(((B111-($C$108*ROUNDUP(B111/$H$108,0)))/$C$107),0)/$H$107,0)-$C$108)/$C$107,0-$C$108/$C$107)</f>
        <v>8.3813182046481884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35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99999999999999" x14ac:dyDescent="0.35">
      <c r="A114" s="60">
        <f>Лист1!G$3</f>
        <v>7.5</v>
      </c>
      <c r="B114" s="13">
        <f>Лист1!G$11</f>
        <v>438.91692975532754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0.75570786416841729</v>
      </c>
      <c r="D114" s="15">
        <f>C114-E114</f>
        <v>0.75570786416841729</v>
      </c>
      <c r="E114" s="32">
        <f>IF(D115 &gt; $D$110,D115/$B114*100,0)</f>
        <v>0</v>
      </c>
      <c r="F114" s="120">
        <v>109.9</v>
      </c>
      <c r="G114" s="121">
        <v>109.9</v>
      </c>
      <c r="H114" s="121">
        <v>109.9</v>
      </c>
      <c r="I114" s="121">
        <v>113.65043334960933</v>
      </c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41"/>
      <c r="W114" s="17">
        <f>SUM(F114:T114)</f>
        <v>443.35043334960938</v>
      </c>
      <c r="X114" s="96">
        <v>36</v>
      </c>
      <c r="Y114" s="96">
        <v>3</v>
      </c>
      <c r="Z114" s="39">
        <v>77.350433349609375</v>
      </c>
      <c r="AA114" s="97">
        <v>17.649566650390625</v>
      </c>
      <c r="AB114" s="135">
        <v>2</v>
      </c>
      <c r="AC114" s="135">
        <v>2</v>
      </c>
      <c r="AD114" s="135">
        <v>2</v>
      </c>
      <c r="AE114" s="135">
        <v>3</v>
      </c>
      <c r="AF114" s="39">
        <v>12.1</v>
      </c>
    </row>
    <row r="115" spans="1:32" s="12" customFormat="1" ht="16.95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4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-0.68307024467242172</v>
      </c>
      <c r="E115" s="129">
        <f>B114</f>
        <v>438.91692975532754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35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8.9858869784158593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35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99999999999999" x14ac:dyDescent="0.35">
      <c r="A117" s="60">
        <f>Лист1!H$3</f>
        <v>8</v>
      </c>
      <c r="B117" s="13">
        <f>Лист1!H$11</f>
        <v>468.17805840568269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1.7895025739166479</v>
      </c>
      <c r="D117" s="15">
        <f>C117-E117</f>
        <v>0.85437579318036827</v>
      </c>
      <c r="E117" s="32">
        <f>IF(D118 &gt; $D$110,D118/$B117*100,0)</f>
        <v>0.93512678073627964</v>
      </c>
      <c r="F117" s="120">
        <v>122</v>
      </c>
      <c r="G117" s="121">
        <v>122</v>
      </c>
      <c r="H117" s="121">
        <v>122</v>
      </c>
      <c r="I117" s="121">
        <v>106.90713500976563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41"/>
      <c r="W117" s="17">
        <f>SUM(F117:T117)</f>
        <v>472.90713500976563</v>
      </c>
      <c r="X117" s="96">
        <v>39</v>
      </c>
      <c r="Y117" s="96">
        <v>3</v>
      </c>
      <c r="Z117" s="39">
        <v>106.90713500976563</v>
      </c>
      <c r="AA117" s="97"/>
      <c r="AB117" s="135"/>
      <c r="AC117" s="135"/>
      <c r="AD117" s="135"/>
      <c r="AE117" s="135"/>
      <c r="AF117" s="39"/>
    </row>
    <row r="118" spans="1:32" s="12" customFormat="1" ht="16.95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4.3780584056826797</v>
      </c>
      <c r="E118" s="129">
        <f>B117</f>
        <v>468.17805840568269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35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9.5904557521835265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35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99999999999999" x14ac:dyDescent="0.35">
      <c r="A120" s="60">
        <f>Лист1!I$3</f>
        <v>8.5</v>
      </c>
      <c r="B120" s="13">
        <f>Лист1!I$11</f>
        <v>497.43918705603784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0.26921623605158579</v>
      </c>
      <c r="D120" s="15">
        <f>C120-E120</f>
        <v>0.26921623605158579</v>
      </c>
      <c r="E120" s="32">
        <f>IF(D121 &gt; $D$110,D121/$B120*100,0)</f>
        <v>0</v>
      </c>
      <c r="F120" s="120">
        <v>97.8</v>
      </c>
      <c r="G120" s="121">
        <v>97.8</v>
      </c>
      <c r="H120" s="121">
        <v>97.8</v>
      </c>
      <c r="I120" s="121">
        <v>97.8</v>
      </c>
      <c r="J120" s="122">
        <v>111.26383666992189</v>
      </c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41"/>
      <c r="W120" s="17">
        <f>SUM(F120:T120)</f>
        <v>502.46383666992188</v>
      </c>
      <c r="X120" s="96">
        <v>41</v>
      </c>
      <c r="Y120" s="96">
        <v>4</v>
      </c>
      <c r="Z120" s="39">
        <v>14.463836669921875</v>
      </c>
      <c r="AA120" s="97">
        <v>80.536163330078125</v>
      </c>
      <c r="AB120" s="135">
        <v>7</v>
      </c>
      <c r="AC120" s="135">
        <v>2</v>
      </c>
      <c r="AD120" s="135">
        <v>4</v>
      </c>
      <c r="AE120" s="135">
        <v>4</v>
      </c>
      <c r="AF120" s="39">
        <v>12.1</v>
      </c>
    </row>
    <row r="121" spans="1:32" s="12" customFormat="1" ht="16.95" hidden="1" x14ac:dyDescent="0.3">
      <c r="A121" s="58"/>
      <c r="B121" s="192"/>
      <c r="C121" s="19">
        <f>$C$58*
(SIGN($F120)+SIGN($G120)+SIGN($H120)+SIGN($I120)
+SIGN($J120)+SIGN($K120)+SIGN($L120)+SIGN($M120)
+SIGN($N120)+SIGN($O120)+SIGN($P120)+SIGN($Q120)
+SIGN($R120)+SIGN($S120)+SIGN($T120)+SIGN($U120))</f>
        <v>5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-3.660812943962128</v>
      </c>
      <c r="E121" s="129">
        <f>B120</f>
        <v>497.43918705603784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35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192"/>
      <c r="C122" s="22"/>
      <c r="D122" s="22"/>
      <c r="E122" s="22">
        <f>IF(B120&gt;0,(B120/ROUNDUP(ROUNDUP(((B120-($C$108*ROUNDUP(B120/$H$108,0)))/$C$107),0)/$H$107,0)-$C$108)/$C$107,0-$C$108/$C$107)</f>
        <v>8.1394906951411219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35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99999999999999" x14ac:dyDescent="0.35">
      <c r="A123" s="60">
        <f>Лист1!J$3</f>
        <v>9</v>
      </c>
      <c r="B123" s="13">
        <f>Лист1!J$11</f>
        <v>526.70031570639298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1.21517217961207</v>
      </c>
      <c r="D123" s="15">
        <f>C123-E123</f>
        <v>1.21517217961207</v>
      </c>
      <c r="E123" s="32">
        <f>IF(D124 &gt; $D$110,D124/$B123*100,0)</f>
        <v>0</v>
      </c>
      <c r="F123" s="78">
        <v>109.9</v>
      </c>
      <c r="G123" s="79">
        <v>109.9</v>
      </c>
      <c r="H123" s="79">
        <v>109.9</v>
      </c>
      <c r="I123" s="79">
        <v>97.8</v>
      </c>
      <c r="J123" s="79">
        <v>104.52050781249994</v>
      </c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41"/>
      <c r="W123" s="17">
        <f>SUM(F123:T123)</f>
        <v>532.0205078125</v>
      </c>
      <c r="X123" s="135">
        <v>43</v>
      </c>
      <c r="Y123" s="135">
        <v>4</v>
      </c>
      <c r="Z123" s="39">
        <v>44.0205078125</v>
      </c>
      <c r="AA123" s="39">
        <v>50.9794921875</v>
      </c>
      <c r="AB123" s="135">
        <v>5</v>
      </c>
      <c r="AC123" s="135">
        <v>2</v>
      </c>
      <c r="AD123" s="135">
        <v>3</v>
      </c>
      <c r="AE123" s="135">
        <v>4</v>
      </c>
      <c r="AF123" s="39"/>
    </row>
    <row r="124" spans="1:32" s="12" customFormat="1" ht="16.95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5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1.4003157063930303</v>
      </c>
      <c r="E124" s="129">
        <f>B123</f>
        <v>526.70031570639298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41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8.623145714155255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41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99999999999999" x14ac:dyDescent="0.35">
      <c r="A126" s="60">
        <f>Лист1!K$3</f>
        <v>9.5</v>
      </c>
      <c r="B126" s="13">
        <f>Лист1!K$11</f>
        <v>555.96144435674819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2.0615538133240823</v>
      </c>
      <c r="D126" s="15">
        <f>C126-E126</f>
        <v>0.89934294018986138</v>
      </c>
      <c r="E126" s="32">
        <f>IF(D127 &gt; $D$110,D127/$B126*100,0)</f>
        <v>1.1622108731342209</v>
      </c>
      <c r="F126" s="78">
        <v>122</v>
      </c>
      <c r="G126" s="79">
        <v>109.9</v>
      </c>
      <c r="H126" s="79">
        <v>109.9</v>
      </c>
      <c r="I126" s="79">
        <v>109.9</v>
      </c>
      <c r="J126" s="79">
        <v>109.8772094726562</v>
      </c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41"/>
      <c r="W126" s="17">
        <f>SUM(F126:T126)</f>
        <v>561.57720947265625</v>
      </c>
      <c r="X126" s="135">
        <v>46</v>
      </c>
      <c r="Y126" s="135">
        <v>4</v>
      </c>
      <c r="Z126" s="39">
        <v>73.57720947265625</v>
      </c>
      <c r="AA126" s="39">
        <v>21.42279052734375</v>
      </c>
      <c r="AB126" s="135">
        <v>2</v>
      </c>
      <c r="AC126" s="135">
        <v>2</v>
      </c>
      <c r="AD126" s="135">
        <v>2</v>
      </c>
      <c r="AE126" s="135">
        <v>3</v>
      </c>
      <c r="AF126" s="39">
        <v>12.1</v>
      </c>
    </row>
    <row r="127" spans="1:32" s="12" customFormat="1" ht="16.95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5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6.4614443567481885</v>
      </c>
      <c r="E127" s="129">
        <f>B126</f>
        <v>555.96144435674819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41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9.1068007331693916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41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99999999999999" x14ac:dyDescent="0.35">
      <c r="A129" s="60">
        <f>Лист1!L$3</f>
        <v>10</v>
      </c>
      <c r="B129" s="13">
        <f>Лист1!L$11</f>
        <v>585.22257300710339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0.75570786416841729</v>
      </c>
      <c r="D129" s="15">
        <f>C129-E129</f>
        <v>0.75570786416841729</v>
      </c>
      <c r="E129" s="32">
        <f>IF(D130 &gt; $D$110,D130/$B129*100,0)</f>
        <v>0</v>
      </c>
      <c r="F129" s="78">
        <v>122</v>
      </c>
      <c r="G129" s="79">
        <v>122</v>
      </c>
      <c r="H129" s="79">
        <v>122</v>
      </c>
      <c r="I129" s="79">
        <v>109.9</v>
      </c>
      <c r="J129" s="79">
        <v>115.23391113281252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41"/>
      <c r="W129" s="17">
        <f>SUM(F129:T129)</f>
        <v>591.1339111328125</v>
      </c>
      <c r="X129" s="135">
        <v>48</v>
      </c>
      <c r="Y129" s="135">
        <v>4</v>
      </c>
      <c r="Z129" s="39">
        <v>103.1339111328125</v>
      </c>
      <c r="AA129" s="39"/>
      <c r="AB129" s="135"/>
      <c r="AC129" s="135">
        <v>2</v>
      </c>
      <c r="AD129" s="135">
        <v>1</v>
      </c>
      <c r="AE129" s="135">
        <v>1</v>
      </c>
      <c r="AF129" s="39">
        <v>12.1</v>
      </c>
    </row>
    <row r="130" spans="1:32" s="12" customFormat="1" ht="18.899999999999999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-0.5774269928965623</v>
      </c>
      <c r="E130" s="129">
        <f>B129</f>
        <v>585.22257300710339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41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9.5904557521835265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41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99999999999999" x14ac:dyDescent="0.35">
      <c r="A132" s="60">
        <f>Лист1!M$3</f>
        <v>10.5</v>
      </c>
      <c r="B132" s="13">
        <f>Лист1!M$11</f>
        <v>614.48370165745848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1.5433609763575364</v>
      </c>
      <c r="D132" s="15">
        <f>C132-E132</f>
        <v>0.97642947792042123</v>
      </c>
      <c r="E132" s="32">
        <f>IF(D133 &gt; $D$110,D133/$B132*100,0)</f>
        <v>0.56693149843711521</v>
      </c>
      <c r="F132" s="78">
        <v>109.9</v>
      </c>
      <c r="G132" s="79">
        <v>109.9</v>
      </c>
      <c r="H132" s="79">
        <v>97.8</v>
      </c>
      <c r="I132" s="79">
        <v>97.8</v>
      </c>
      <c r="J132" s="79">
        <v>97.8</v>
      </c>
      <c r="K132" s="79">
        <v>107.4906127929687</v>
      </c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41"/>
      <c r="W132" s="17">
        <f>SUM(F132:T132)</f>
        <v>620.69061279296875</v>
      </c>
      <c r="X132" s="135">
        <v>51</v>
      </c>
      <c r="Y132" s="135">
        <v>5</v>
      </c>
      <c r="Z132" s="39">
        <v>10.69061279296875</v>
      </c>
      <c r="AA132" s="39">
        <v>84.30938720703125</v>
      </c>
      <c r="AB132" s="135">
        <v>7</v>
      </c>
      <c r="AC132" s="135">
        <v>2</v>
      </c>
      <c r="AD132" s="135">
        <v>4</v>
      </c>
      <c r="AE132" s="135">
        <v>5</v>
      </c>
      <c r="AF132" s="39">
        <v>12.1</v>
      </c>
    </row>
    <row r="133" spans="1:32" s="12" customFormat="1" ht="18.899999999999999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6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3.4837016574584823</v>
      </c>
      <c r="E133" s="129">
        <f>B132</f>
        <v>614.48370165745848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41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8.3813182046481884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41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99999999999999" x14ac:dyDescent="0.35">
      <c r="A135" s="60">
        <f>Лист1!N$3</f>
        <v>11</v>
      </c>
      <c r="B135" s="13">
        <f>Лист1!N$11</f>
        <v>643.74483030781369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0.37978251516904749</v>
      </c>
      <c r="D135" s="15">
        <f>C135-E135</f>
        <v>0.37978251516904749</v>
      </c>
      <c r="E135" s="32">
        <f>IF(D136 &gt; $D$110,D136/$B135*100,0)</f>
        <v>0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97.8</v>
      </c>
      <c r="K135" s="79">
        <v>112.84731445312502</v>
      </c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41"/>
      <c r="W135" s="17">
        <f>SUM(F135:T135)</f>
        <v>650.247314453125</v>
      </c>
      <c r="X135" s="135">
        <v>53</v>
      </c>
      <c r="Y135" s="135">
        <v>5</v>
      </c>
      <c r="Z135" s="39">
        <v>40.247314453125</v>
      </c>
      <c r="AA135" s="39">
        <v>54.752685546875</v>
      </c>
      <c r="AB135" s="135">
        <v>5</v>
      </c>
      <c r="AC135" s="135">
        <v>2</v>
      </c>
      <c r="AD135" s="135">
        <v>3</v>
      </c>
      <c r="AE135" s="135">
        <v>5</v>
      </c>
      <c r="AF135" s="39">
        <v>12.1</v>
      </c>
    </row>
    <row r="136" spans="1:32" s="12" customFormat="1" ht="18.899999999999999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6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-3.5551696921862685</v>
      </c>
      <c r="E136" s="129">
        <f>B135</f>
        <v>643.74483030781369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41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8.7843640538266357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41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99999999999999" x14ac:dyDescent="0.35">
      <c r="A138" s="60">
        <f>Лист1!O$3</f>
        <v>11.2</v>
      </c>
      <c r="B138" s="13">
        <f>Лист1!O$11</f>
        <v>655.44928176795577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0.31265298856201712</v>
      </c>
      <c r="D138" s="15">
        <f>C138-E138</f>
        <v>0.31265298856201712</v>
      </c>
      <c r="E138" s="32">
        <f>IF(D139 &gt; $D$110,D139/$B138*100,0)</f>
        <v>0</v>
      </c>
      <c r="F138" s="78">
        <v>109.9</v>
      </c>
      <c r="G138" s="79">
        <v>109.9</v>
      </c>
      <c r="H138" s="79">
        <v>109.9</v>
      </c>
      <c r="I138" s="79">
        <v>109.9</v>
      </c>
      <c r="J138" s="79">
        <v>109.9</v>
      </c>
      <c r="K138" s="79">
        <v>112.57000732421875</v>
      </c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41"/>
      <c r="W138" s="17">
        <f>SUM(F138:T138)</f>
        <v>662.07000732421875</v>
      </c>
      <c r="X138" s="135">
        <v>54</v>
      </c>
      <c r="Y138" s="135">
        <v>5</v>
      </c>
      <c r="Z138" s="39">
        <v>52.07000732421875</v>
      </c>
      <c r="AA138" s="39">
        <v>42.92999267578125</v>
      </c>
      <c r="AB138" s="135">
        <v>4</v>
      </c>
      <c r="AC138" s="135">
        <v>2</v>
      </c>
      <c r="AD138" s="135">
        <v>3</v>
      </c>
      <c r="AE138" s="135">
        <v>5</v>
      </c>
      <c r="AF138" s="39">
        <v>12.1</v>
      </c>
    </row>
    <row r="139" spans="1:32" s="12" customFormat="1" ht="18.899999999999999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6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-3.9507182320442098</v>
      </c>
      <c r="E139" s="129">
        <f>B138</f>
        <v>655.44928176795577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41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8.9455823934980145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41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99999999999999" x14ac:dyDescent="0.35">
      <c r="A141" s="60">
        <f>Лист1!P$3</f>
        <v>11.4</v>
      </c>
      <c r="B141" s="13">
        <f>Лист1!P$11</f>
        <v>667.15373322809785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0.24787888394119839</v>
      </c>
      <c r="D141" s="15">
        <f>C141-E141</f>
        <v>0.24787888394119839</v>
      </c>
      <c r="E141" s="32">
        <f>IF(D142 &gt; $D$110,D142/$B141*100,0)</f>
        <v>0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109.9</v>
      </c>
      <c r="K141" s="79">
        <v>112.29263916015623</v>
      </c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41"/>
      <c r="W141" s="17">
        <f>SUM(F141:T141)</f>
        <v>673.89263916015625</v>
      </c>
      <c r="X141" s="135">
        <v>55</v>
      </c>
      <c r="Y141" s="135">
        <v>5</v>
      </c>
      <c r="Z141" s="39">
        <v>63.89263916015625</v>
      </c>
      <c r="AA141" s="39">
        <v>31.10736083984375</v>
      </c>
      <c r="AB141" s="135">
        <v>3</v>
      </c>
      <c r="AC141" s="135">
        <v>2</v>
      </c>
      <c r="AD141" s="135">
        <v>2</v>
      </c>
      <c r="AE141" s="135">
        <v>4</v>
      </c>
      <c r="AF141" s="39">
        <v>12.1</v>
      </c>
    </row>
    <row r="142" spans="1:32" s="12" customFormat="1" ht="18.899999999999999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6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-4.346266771902151</v>
      </c>
      <c r="E142" s="129">
        <f>B141</f>
        <v>667.15373322809785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41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9.1068007331693916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41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99999999999999" x14ac:dyDescent="0.35">
      <c r="A144" s="60">
        <f>Лист1!Q$3</f>
        <v>11.6</v>
      </c>
      <c r="B144" s="27">
        <f>Лист1!Q$11</f>
        <v>678.85818468823993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0.18533836913489063</v>
      </c>
      <c r="D144" s="15">
        <f>C144-E144</f>
        <v>0.18533836913489063</v>
      </c>
      <c r="E144" s="32">
        <f>IF(D145 &gt; $D$110,D145/$B144*100,0)</f>
        <v>0</v>
      </c>
      <c r="F144" s="85">
        <v>122</v>
      </c>
      <c r="G144" s="82">
        <v>122</v>
      </c>
      <c r="H144" s="82">
        <v>109.9</v>
      </c>
      <c r="I144" s="82">
        <v>109.9</v>
      </c>
      <c r="J144" s="82">
        <v>109.9</v>
      </c>
      <c r="K144" s="82">
        <v>112.01533203125007</v>
      </c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71"/>
      <c r="W144" s="28">
        <f>SUM(F144:T144)</f>
        <v>685.71533203125</v>
      </c>
      <c r="X144" s="135">
        <v>56</v>
      </c>
      <c r="Y144" s="135">
        <v>5</v>
      </c>
      <c r="Z144" s="39">
        <v>75.71533203125</v>
      </c>
      <c r="AA144" s="39">
        <v>19.28466796875</v>
      </c>
      <c r="AB144" s="135">
        <v>2</v>
      </c>
      <c r="AC144" s="135">
        <v>2</v>
      </c>
      <c r="AD144" s="135">
        <v>2</v>
      </c>
      <c r="AE144" s="135">
        <v>3</v>
      </c>
      <c r="AF144" s="39">
        <v>12.1</v>
      </c>
    </row>
    <row r="145" spans="1:32" s="12" customFormat="1" ht="18.899999999999999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6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-4.7418153117600923</v>
      </c>
      <c r="E145" s="129">
        <f>B144</f>
        <v>678.85818468823993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41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9.2680190728407705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41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99999999999999" x14ac:dyDescent="0.35">
      <c r="A147" s="60">
        <f>Лист1!R$3</f>
        <v>11.8</v>
      </c>
      <c r="B147" s="13">
        <f>Лист1!R$11</f>
        <v>690.56263614838201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0.12491787177966061</v>
      </c>
      <c r="D147" s="15">
        <f>C147-E147</f>
        <v>0.12491787177966061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109.9</v>
      </c>
      <c r="J147" s="79">
        <v>109.9</v>
      </c>
      <c r="K147" s="79">
        <v>111.7380249023438</v>
      </c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41"/>
      <c r="W147" s="17">
        <f>SUM(F147:T147)</f>
        <v>697.53802490234375</v>
      </c>
      <c r="X147" s="135">
        <v>57</v>
      </c>
      <c r="Y147" s="135">
        <v>5</v>
      </c>
      <c r="Z147" s="39">
        <v>87.53802490234375</v>
      </c>
      <c r="AA147" s="39">
        <v>7.46197509765625</v>
      </c>
      <c r="AB147" s="135">
        <v>1</v>
      </c>
      <c r="AC147" s="135">
        <v>2</v>
      </c>
      <c r="AD147" s="135">
        <v>1</v>
      </c>
      <c r="AE147" s="135">
        <v>2</v>
      </c>
      <c r="AF147" s="39">
        <v>12.1</v>
      </c>
    </row>
    <row r="148" spans="1:32" s="12" customFormat="1" ht="18.899999999999999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6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-5.1373638516179199</v>
      </c>
      <c r="E148" s="129">
        <f>B147</f>
        <v>690.56263614838201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41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9.4292374125121494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41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99999999999999" x14ac:dyDescent="0.35">
      <c r="A150" s="60">
        <f>Лист1!S$3</f>
        <v>12</v>
      </c>
      <c r="B150" s="13">
        <f>Лист1!S$11</f>
        <v>702.26708760852398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6.6511391002905915E-2</v>
      </c>
      <c r="D150" s="15">
        <f>C150-E150</f>
        <v>6.6511391002905915E-2</v>
      </c>
      <c r="E150" s="32">
        <f>IF(D151 &gt; $D$110,D151/$B150*100,0)</f>
        <v>0</v>
      </c>
      <c r="F150" s="87">
        <v>122</v>
      </c>
      <c r="G150" s="88">
        <v>122</v>
      </c>
      <c r="H150" s="88">
        <v>122</v>
      </c>
      <c r="I150" s="88">
        <v>122</v>
      </c>
      <c r="J150" s="88">
        <v>109.9</v>
      </c>
      <c r="K150" s="88">
        <v>111.46071777343752</v>
      </c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41"/>
      <c r="W150" s="17">
        <f>SUM(F150:T150)</f>
        <v>709.3607177734375</v>
      </c>
      <c r="X150" s="135">
        <v>58</v>
      </c>
      <c r="Y150" s="135">
        <v>5</v>
      </c>
      <c r="Z150" s="39">
        <v>99.3607177734375</v>
      </c>
      <c r="AA150" s="141"/>
      <c r="AB150" s="135"/>
      <c r="AC150" s="135">
        <v>2</v>
      </c>
      <c r="AD150" s="135">
        <v>1</v>
      </c>
      <c r="AE150" s="135">
        <v>1</v>
      </c>
      <c r="AF150" s="39">
        <v>12.1</v>
      </c>
    </row>
    <row r="151" spans="1:32" s="12" customFormat="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6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-5.5329123914759748</v>
      </c>
      <c r="E151" s="129">
        <f>B150</f>
        <v>702.26708760852398</v>
      </c>
      <c r="F151" s="20">
        <f>C151-F150</f>
        <v>-116</v>
      </c>
      <c r="G151" s="26">
        <f t="shared" ref="G151:M151" si="11">F151-G150</f>
        <v>-238</v>
      </c>
      <c r="H151" s="26">
        <f t="shared" si="11"/>
        <v>-360</v>
      </c>
      <c r="I151" s="26">
        <f t="shared" si="11"/>
        <v>-482</v>
      </c>
      <c r="J151" s="26">
        <f t="shared" si="11"/>
        <v>-591.9</v>
      </c>
      <c r="K151" s="26">
        <f t="shared" si="11"/>
        <v>-703.3607177734375</v>
      </c>
      <c r="L151" s="26">
        <f t="shared" si="11"/>
        <v>-703.3607177734375</v>
      </c>
      <c r="M151" s="26">
        <f t="shared" si="11"/>
        <v>-703.3607177734375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9.5904557521835265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0.81568205958549611</v>
      </c>
      <c r="D153" s="31">
        <f>AVERAGE(D111,D114,D117,D120,D123,D126,D129,D132,D135,D138,D141,D144,D147,D150,)</f>
        <v>0.53463092352008545</v>
      </c>
      <c r="E153" s="31">
        <f>AVERAGE(E111,E114,E117,E120,E123,E126,E129,E132,E135,E138,E141,E144,E147,E150,)</f>
        <v>0.28105113606541049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H9:H10"/>
    <mergeCell ref="A7:A9"/>
    <mergeCell ref="B9:B10"/>
    <mergeCell ref="C9:C10"/>
    <mergeCell ref="F9:F10"/>
    <mergeCell ref="G9:G10"/>
    <mergeCell ref="A57:A59"/>
    <mergeCell ref="B59:B60"/>
    <mergeCell ref="C59:C60"/>
    <mergeCell ref="F59:F60"/>
    <mergeCell ref="G59:G60"/>
    <mergeCell ref="L59:L60"/>
    <mergeCell ref="M59:M60"/>
    <mergeCell ref="I9:I10"/>
    <mergeCell ref="J9:J10"/>
    <mergeCell ref="K9:K10"/>
    <mergeCell ref="L9:L10"/>
    <mergeCell ref="M9:M10"/>
    <mergeCell ref="H59:H60"/>
    <mergeCell ref="I59:I60"/>
    <mergeCell ref="J59:J60"/>
    <mergeCell ref="K59:K60"/>
    <mergeCell ref="I109:I110"/>
    <mergeCell ref="J109:J110"/>
    <mergeCell ref="K109:K110"/>
    <mergeCell ref="L109:L110"/>
    <mergeCell ref="M109:M110"/>
    <mergeCell ref="A107:A109"/>
    <mergeCell ref="B109:B110"/>
    <mergeCell ref="C109:C110"/>
    <mergeCell ref="F109:F110"/>
    <mergeCell ref="G109:G110"/>
    <mergeCell ref="H109:H1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8"/>
  <dimension ref="A1:AI153"/>
  <sheetViews>
    <sheetView zoomScaleNormal="100" workbookViewId="0">
      <selection activeCell="B2" sqref="B2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Лист1!F$12</f>
        <v>344.1869363395225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1.5651193496224272</v>
      </c>
      <c r="D11" s="15">
        <f>C11-E11</f>
        <v>1.5651193496224272</v>
      </c>
      <c r="E11" s="32">
        <f>IF(D12 &gt; $D$10,D12/$B11*100,0)</f>
        <v>0</v>
      </c>
      <c r="F11" s="78">
        <v>122</v>
      </c>
      <c r="G11" s="79">
        <v>122</v>
      </c>
      <c r="H11" s="79">
        <v>103.66357421875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347.66357421875</v>
      </c>
      <c r="X11" s="96">
        <v>28</v>
      </c>
      <c r="Y11" s="96">
        <v>2</v>
      </c>
      <c r="Z11" s="39">
        <v>103.66357421875</v>
      </c>
      <c r="AA11" s="97"/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+SIGN($R11)+SIGN($S11)+SIGN($T11)+SIGN($V10))</f>
        <v>4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+ROUNDDOWN(($T11-$C$8)/$C$7,0)+ROUNDDOWN(($V11-$C$8)/$C$7,0))</f>
        <v>1.3869363395224923</v>
      </c>
      <c r="E12" s="129">
        <f>B11</f>
        <v>344.1869363395225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9.3990891553587463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Лист1!G$12</f>
        <v>368.77171750663126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1.5651193496224327</v>
      </c>
      <c r="D14" s="15">
        <f>C14-E14</f>
        <v>1.5651193496224327</v>
      </c>
      <c r="E14" s="32">
        <f t="shared" ref="E14:E50" si="2">IF(D15 &gt; $D$10,D15/$B14*100,0)</f>
        <v>0</v>
      </c>
      <c r="F14" s="78">
        <v>97.8</v>
      </c>
      <c r="G14" s="79">
        <v>97.8</v>
      </c>
      <c r="H14" s="79">
        <v>85.7</v>
      </c>
      <c r="I14" s="79">
        <v>91.196673583984364</v>
      </c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372.49667358398438</v>
      </c>
      <c r="X14" s="96">
        <v>30</v>
      </c>
      <c r="Y14" s="96">
        <v>3</v>
      </c>
      <c r="Z14" s="39">
        <v>6.496673583984375</v>
      </c>
      <c r="AA14" s="97">
        <v>48.503326416015625</v>
      </c>
      <c r="AB14" s="135">
        <v>5</v>
      </c>
      <c r="AC14" s="135">
        <v>5</v>
      </c>
      <c r="AD14" s="135">
        <v>2</v>
      </c>
      <c r="AE14" s="135">
        <v>3</v>
      </c>
      <c r="AF14" s="39">
        <v>24.2</v>
      </c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+SIGN($R14)+SIGN($S14)+SIGN($T14)+SIGN($V14))</f>
        <v>4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+ROUNDDOWN(($T14-$C$8)/$C$7,0)+ROUNDDOWN(($V14-$C$8)/$C$7,0))</f>
        <v>1.771717506631262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Лист1!H$12</f>
        <v>393.35649867374002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1.5651193496224374</v>
      </c>
      <c r="D17" s="15">
        <f>C17-E17</f>
        <v>1.5651193496224374</v>
      </c>
      <c r="E17" s="32">
        <f t="shared" si="2"/>
        <v>0</v>
      </c>
      <c r="F17" s="78">
        <v>109.9</v>
      </c>
      <c r="G17" s="79">
        <v>97.8</v>
      </c>
      <c r="H17" s="79">
        <v>97.8</v>
      </c>
      <c r="I17" s="79">
        <v>91.829803466796875</v>
      </c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397.32980346679688</v>
      </c>
      <c r="X17" s="96">
        <v>32</v>
      </c>
      <c r="Y17" s="96">
        <v>3</v>
      </c>
      <c r="Z17" s="39">
        <v>31.329803466796875</v>
      </c>
      <c r="AA17" s="97">
        <v>23.670196533203125</v>
      </c>
      <c r="AB17" s="135">
        <v>2</v>
      </c>
      <c r="AC17" s="135">
        <v>5</v>
      </c>
      <c r="AD17" s="135">
        <v>1</v>
      </c>
      <c r="AE17" s="135">
        <v>3</v>
      </c>
      <c r="AF17" s="39">
        <v>36.299999999999997</v>
      </c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+SIGN($R17)+SIGN($S17)+SIGN($T17)+SIGN($V17))</f>
        <v>4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+ROUNDDOWN(($T17-$C$8)/$C$7,0)+ROUNDDOWN(($V17-$C$8)/$C$7,0))</f>
        <v>2.1564986737400318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Лист1!I$12</f>
        <v>417.94127984084878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1.5651193496224416</v>
      </c>
      <c r="D20" s="15">
        <f>C20-E20</f>
        <v>1.5651193496224416</v>
      </c>
      <c r="E20" s="32">
        <f t="shared" si="2"/>
        <v>0</v>
      </c>
      <c r="F20" s="78">
        <v>109.9</v>
      </c>
      <c r="G20" s="79">
        <v>109.9</v>
      </c>
      <c r="H20" s="79">
        <v>109.9</v>
      </c>
      <c r="I20" s="79">
        <v>92.462902832031205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422.16290283203125</v>
      </c>
      <c r="X20" s="96">
        <v>34</v>
      </c>
      <c r="Y20" s="96">
        <v>3</v>
      </c>
      <c r="Z20" s="39">
        <v>56.16290283203125</v>
      </c>
      <c r="AA20" s="97"/>
      <c r="AB20" s="135"/>
      <c r="AC20" s="135">
        <v>5</v>
      </c>
      <c r="AD20" s="135">
        <v>1</v>
      </c>
      <c r="AE20" s="135">
        <v>3</v>
      </c>
      <c r="AF20" s="39">
        <v>36.299999999999997</v>
      </c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+SIGN($R20)+SIGN($S20)+SIGN($T20)+SIGN($V20))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+ROUNDDOWN(($T20-$C$8)/$C$7,0)+ROUNDDOWN(($V20-$C$8)/$C$7,0))</f>
        <v>2.5412798408488015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Лист1!J$12</f>
        <v>442.52606100795754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1.5651193496224454</v>
      </c>
      <c r="D23" s="15">
        <f>C23-E23</f>
        <v>1.5651193496224454</v>
      </c>
      <c r="E23" s="32">
        <f t="shared" si="2"/>
        <v>0</v>
      </c>
      <c r="F23" s="78">
        <v>122</v>
      </c>
      <c r="G23" s="79">
        <v>122</v>
      </c>
      <c r="H23" s="79">
        <v>109.9</v>
      </c>
      <c r="I23" s="79">
        <v>93.096032714843773</v>
      </c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446.99603271484375</v>
      </c>
      <c r="X23" s="96">
        <v>36</v>
      </c>
      <c r="Y23" s="96">
        <v>3</v>
      </c>
      <c r="Z23" s="39">
        <v>80.99603271484375</v>
      </c>
      <c r="AA23" s="141"/>
      <c r="AB23" s="135"/>
      <c r="AC23" s="135">
        <v>5</v>
      </c>
      <c r="AD23" s="135">
        <v>1</v>
      </c>
      <c r="AE23" s="135">
        <v>1</v>
      </c>
      <c r="AF23" s="39">
        <v>12.1</v>
      </c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+SIGN($R23)+SIGN($S23)+SIGN($T23)+SIGN($V23))</f>
        <v>4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+ROUNDDOWN(($T23-$C$8)/$C$7,0)+ROUNDDOWN(($V23-$C$8)/$C$7,0))</f>
        <v>2.9260610079575713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Лист1!K$12</f>
        <v>467.1108421750663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1.5651193496224367</v>
      </c>
      <c r="D26" s="15">
        <f>C26-E26</f>
        <v>0.85632780035126199</v>
      </c>
      <c r="E26" s="32">
        <f t="shared" si="2"/>
        <v>0.70879154927117471</v>
      </c>
      <c r="F26" s="78">
        <v>122</v>
      </c>
      <c r="G26" s="79">
        <v>122</v>
      </c>
      <c r="H26" s="79">
        <v>122</v>
      </c>
      <c r="I26" s="79">
        <v>105.82913208007813</v>
      </c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471.82913208007813</v>
      </c>
      <c r="X26" s="96">
        <v>38</v>
      </c>
      <c r="Y26" s="96">
        <v>3</v>
      </c>
      <c r="Z26" s="39">
        <v>105.82913208007813</v>
      </c>
      <c r="AA26" s="141"/>
      <c r="AB26" s="135"/>
      <c r="AC26" s="135"/>
      <c r="AD26" s="135"/>
      <c r="AE26" s="135"/>
      <c r="AF26" s="39"/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+SIGN($R26)+SIGN($S26)+SIGN($T26)+SIGN($V26))</f>
        <v>4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+ROUNDDOWN(($T26-$C$8)/$C$7,0)+ROUNDDOWN(($V26-$C$8)/$C$7,0))</f>
        <v>3.3108421750662842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Лист1!L$12</f>
        <v>491.69562334217505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1.5651193496224403</v>
      </c>
      <c r="D29" s="15">
        <f>C29-E29</f>
        <v>1.5651193496224403</v>
      </c>
      <c r="E29" s="32">
        <f t="shared" si="2"/>
        <v>0</v>
      </c>
      <c r="F29" s="78">
        <v>109.9</v>
      </c>
      <c r="G29" s="79">
        <v>97.8</v>
      </c>
      <c r="H29" s="79">
        <v>97.8</v>
      </c>
      <c r="I29" s="79">
        <v>97.8</v>
      </c>
      <c r="J29" s="79">
        <v>93.362231445312489</v>
      </c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496.6622314453125</v>
      </c>
      <c r="X29" s="140">
        <v>41</v>
      </c>
      <c r="Y29" s="140">
        <v>4</v>
      </c>
      <c r="Z29" s="39">
        <v>8.6622314453125</v>
      </c>
      <c r="AA29" s="39">
        <v>46.3377685546875</v>
      </c>
      <c r="AB29" s="135">
        <v>4</v>
      </c>
      <c r="AC29" s="135">
        <v>5</v>
      </c>
      <c r="AD29" s="135">
        <v>2</v>
      </c>
      <c r="AE29" s="135">
        <v>4</v>
      </c>
      <c r="AF29" s="39">
        <v>36.299999999999997</v>
      </c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+SIGN($R29)+SIGN($S29)+SIGN($T29)+SIGN($V29))</f>
        <v>5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+ROUNDDOWN(($T29-$C$8)/$C$7,0)+ROUNDDOWN(($V29-$C$8)/$C$7,0))</f>
        <v>2.6956233421750539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Лист1!M$12</f>
        <v>516.28040450928381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1.5651193496224438</v>
      </c>
      <c r="D32" s="15">
        <f>C32-E32</f>
        <v>0.96846596468297508</v>
      </c>
      <c r="E32" s="32">
        <f t="shared" si="2"/>
        <v>0.59665338493946873</v>
      </c>
      <c r="F32" s="78">
        <v>109.9</v>
      </c>
      <c r="G32" s="79">
        <v>109.9</v>
      </c>
      <c r="H32" s="79">
        <v>109.9</v>
      </c>
      <c r="I32" s="79">
        <v>97.8</v>
      </c>
      <c r="J32" s="79">
        <v>93.995361328124943</v>
      </c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521.495361328125</v>
      </c>
      <c r="X32" s="96">
        <v>43</v>
      </c>
      <c r="Y32" s="96">
        <v>4</v>
      </c>
      <c r="Z32" s="39">
        <v>33.495361328125</v>
      </c>
      <c r="AA32" s="39">
        <v>21.504638671875</v>
      </c>
      <c r="AB32" s="135">
        <v>2</v>
      </c>
      <c r="AC32" s="135">
        <v>5</v>
      </c>
      <c r="AD32" s="135">
        <v>1</v>
      </c>
      <c r="AE32" s="135">
        <v>4</v>
      </c>
      <c r="AF32" s="39">
        <v>36.299999999999997</v>
      </c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+SIGN($R32)+SIGN($S32)+SIGN($T32)+SIGN($V32))</f>
        <v>5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+ROUNDDOWN(($T32-$C$8)/$C$7,0)+ROUNDDOWN(($V32-$C$8)/$C$7,0))</f>
        <v>3.0804045092838237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Лист1!N$12</f>
        <v>540.86518567639257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1.5651193496224465</v>
      </c>
      <c r="D35" s="15">
        <f>C35-E35</f>
        <v>0.92444478447011225</v>
      </c>
      <c r="E35" s="32">
        <f t="shared" si="2"/>
        <v>0.64067456515233423</v>
      </c>
      <c r="F35" s="78">
        <v>122</v>
      </c>
      <c r="G35" s="79">
        <v>109.9</v>
      </c>
      <c r="H35" s="79">
        <v>109.9</v>
      </c>
      <c r="I35" s="79">
        <v>109.9</v>
      </c>
      <c r="J35" s="79">
        <v>94.628491210937455</v>
      </c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546.3284912109375</v>
      </c>
      <c r="X35" s="96">
        <v>45</v>
      </c>
      <c r="Y35" s="96">
        <v>4</v>
      </c>
      <c r="Z35" s="39">
        <v>58.3284912109375</v>
      </c>
      <c r="AA35" s="39"/>
      <c r="AB35" s="135"/>
      <c r="AC35" s="135">
        <v>5</v>
      </c>
      <c r="AD35" s="135">
        <v>1</v>
      </c>
      <c r="AE35" s="135">
        <v>3</v>
      </c>
      <c r="AF35" s="39">
        <v>36.299999999999997</v>
      </c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+SIGN($R35)+SIGN($S35)+SIGN($T35)+SIGN($V35))</f>
        <v>5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+ROUNDDOWN(($T35-$C$8)/$C$7,0)+ROUNDDOWN(($V35-$C$8)/$C$7,0))</f>
        <v>3.4651856763925935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Лист1!O$12</f>
        <v>550.69909814323603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1.1256779181475349</v>
      </c>
      <c r="D38" s="15">
        <f>C38-E38</f>
        <v>1.1256779181475349</v>
      </c>
      <c r="E38" s="32">
        <f t="shared" si="2"/>
        <v>0</v>
      </c>
      <c r="F38" s="78">
        <v>122</v>
      </c>
      <c r="G38" s="79">
        <v>122</v>
      </c>
      <c r="H38" s="79">
        <v>109.9</v>
      </c>
      <c r="I38" s="79">
        <v>109.9</v>
      </c>
      <c r="J38" s="79">
        <v>92.461718750000045</v>
      </c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556.26171875</v>
      </c>
      <c r="X38" s="135">
        <v>45</v>
      </c>
      <c r="Y38" s="135">
        <v>4</v>
      </c>
      <c r="Z38" s="39">
        <v>68.26171875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+SIGN($R38)+SIGN($S38)+SIGN($T38)+SIGN($V38))</f>
        <v>5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+ROUNDDOWN(($T38-$C$8)/$C$7,0)+ROUNDDOWN(($V38-$C$8)/$C$7,0))</f>
        <v>1.1990981432360286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Лист1!P$12</f>
        <v>560.5330106100796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0.70165548426825397</v>
      </c>
      <c r="D41" s="15">
        <f>C41-E41</f>
        <v>0.70165548426825397</v>
      </c>
      <c r="E41" s="32">
        <f t="shared" si="2"/>
        <v>0</v>
      </c>
      <c r="F41" s="78">
        <v>122</v>
      </c>
      <c r="G41" s="79">
        <v>122</v>
      </c>
      <c r="H41" s="79">
        <v>122</v>
      </c>
      <c r="I41" s="79">
        <v>109.9</v>
      </c>
      <c r="J41" s="79">
        <v>90.294946289062523</v>
      </c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566.1949462890625</v>
      </c>
      <c r="X41" s="135">
        <v>46</v>
      </c>
      <c r="Y41" s="135">
        <v>4</v>
      </c>
      <c r="Z41" s="39">
        <v>78.1949462890625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+SIGN($R41)+SIGN($S41)+SIGN($T41)+SIGN($V41))</f>
        <v>5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+ROUNDDOWN(($T41-$C$8)/$C$7,0)+ROUNDDOWN(($V41-$C$8)/$C$7,0))</f>
        <v>-1.0669893899204226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Лист1!Q$12</f>
        <v>570.36692307692306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0.29225451362618993</v>
      </c>
      <c r="D44" s="15">
        <f>C44-E44</f>
        <v>0.29225451362618993</v>
      </c>
      <c r="E44" s="32">
        <f t="shared" si="2"/>
        <v>0</v>
      </c>
      <c r="F44" s="85">
        <v>122</v>
      </c>
      <c r="G44" s="82">
        <v>122</v>
      </c>
      <c r="H44" s="82">
        <v>122</v>
      </c>
      <c r="I44" s="82">
        <v>122</v>
      </c>
      <c r="J44" s="82">
        <v>88.12823486328125</v>
      </c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576.12823486328125</v>
      </c>
      <c r="X44" s="135">
        <v>47</v>
      </c>
      <c r="Y44" s="135">
        <v>4</v>
      </c>
      <c r="Z44" s="39">
        <v>88.12823486328125</v>
      </c>
      <c r="AA44" s="39"/>
      <c r="AB44" s="135"/>
      <c r="AC44" s="135"/>
      <c r="AD44" s="135"/>
      <c r="AE44" s="135"/>
      <c r="AF44" s="39"/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+SIGN($R44)+SIGN($S44)+SIGN($T44)+SIGN($V44))</f>
        <v>5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+ROUNDDOWN(($T44-$C$8)/$C$7,0)+ROUNDDOWN(($V44-$C$8)/$C$7,0))</f>
        <v>-3.3330769230768738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Лист1!R$12</f>
        <v>580.20083554376652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-0.10326845801107806</v>
      </c>
      <c r="D47" s="15">
        <f>C47-E47</f>
        <v>-0.10326845801107806</v>
      </c>
      <c r="E47" s="32">
        <f t="shared" si="2"/>
        <v>0</v>
      </c>
      <c r="F47" s="78">
        <v>122</v>
      </c>
      <c r="G47" s="79">
        <v>122</v>
      </c>
      <c r="H47" s="79">
        <v>122</v>
      </c>
      <c r="I47" s="79">
        <v>122</v>
      </c>
      <c r="J47" s="79">
        <v>98.06146240234375</v>
      </c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586.06146240234375</v>
      </c>
      <c r="X47" s="135">
        <v>48</v>
      </c>
      <c r="Y47" s="135">
        <v>4</v>
      </c>
      <c r="Z47" s="39">
        <v>98.06146240234375</v>
      </c>
      <c r="AA47" s="39"/>
      <c r="AB47" s="135"/>
      <c r="AC47" s="135"/>
      <c r="AD47" s="135"/>
      <c r="AE47" s="135"/>
      <c r="AF47" s="39"/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+SIGN($R47)+SIGN($S47)+SIGN($T47)+SIGN($V47))</f>
        <v>5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+ROUNDDOWN(($T47-$C$8)/$C$7,0)+ROUNDDOWN(($V47-$C$8)/$C$7,0))</f>
        <v>-5.5991644562334386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99999999999999" x14ac:dyDescent="0.35">
      <c r="A50" s="60">
        <f>Лист1!S$3</f>
        <v>12</v>
      </c>
      <c r="B50" s="224">
        <f>Лист1!S$12</f>
        <v>590.03474801060997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1.5651193496224329</v>
      </c>
      <c r="D50" s="15">
        <f>C50-E50</f>
        <v>0.84740771909760326</v>
      </c>
      <c r="E50" s="32">
        <f t="shared" si="2"/>
        <v>0.71771163052482967</v>
      </c>
      <c r="F50" s="87">
        <v>122</v>
      </c>
      <c r="G50" s="88">
        <v>122</v>
      </c>
      <c r="H50" s="88">
        <v>122</v>
      </c>
      <c r="I50" s="88">
        <v>122</v>
      </c>
      <c r="J50" s="88">
        <v>107.99468994140625</v>
      </c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595.99468994140625</v>
      </c>
      <c r="X50" s="135">
        <v>49</v>
      </c>
      <c r="Y50" s="135">
        <v>4</v>
      </c>
      <c r="Z50" s="39">
        <v>107.99468994140625</v>
      </c>
      <c r="AA50" s="141"/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+SIGN($R50)+SIGN($S50)+SIGN($T50)+SIGN($V50))</f>
        <v>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+ROUNDDOWN(($T50-$C$8)/$C$7,0)+ROUNDDOWN(($V50-$C$8)/$C$7,0))</f>
        <v>4.2347480106100193</v>
      </c>
      <c r="E51" s="129">
        <f>B50</f>
        <v>590.03474801060997</v>
      </c>
      <c r="F51" s="20">
        <f>C51-F50</f>
        <v>-117</v>
      </c>
      <c r="G51" s="26">
        <f t="shared" ref="G51:M51" si="3">F51-G50</f>
        <v>-239</v>
      </c>
      <c r="H51" s="26">
        <f t="shared" si="3"/>
        <v>-361</v>
      </c>
      <c r="I51" s="26">
        <f t="shared" si="3"/>
        <v>-483</v>
      </c>
      <c r="J51" s="26">
        <f t="shared" si="3"/>
        <v>-590.99468994140625</v>
      </c>
      <c r="K51" s="26">
        <f t="shared" si="3"/>
        <v>-590.99468994140625</v>
      </c>
      <c r="L51" s="26">
        <f t="shared" si="3"/>
        <v>-590.99468994140625</v>
      </c>
      <c r="M51" s="26">
        <f t="shared" si="3"/>
        <v>-590.99468994140625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9.6699958348861159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1.1778341969503521</v>
      </c>
      <c r="D53" s="31">
        <f>AVERAGE(D11,D14,D17,D20,D23,D26,D29,D32,D35,D38,D41,D44,D47,D50,)</f>
        <v>1.0002454549578319</v>
      </c>
      <c r="E53" s="31">
        <f>AVERAGE(E11,E14,E17,E20,E23,E26,E29,E32,E35,E38,E41,E44,E47,E50,)</f>
        <v>0.17758874199252048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9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9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95" x14ac:dyDescent="0.3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99999999999999" x14ac:dyDescent="0.35">
      <c r="A61" s="60">
        <f>Лист1!F$3</f>
        <v>7</v>
      </c>
      <c r="B61" s="13">
        <f>Лист1!F$12</f>
        <v>344.1869363395225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1.5651193496224272</v>
      </c>
      <c r="D61" s="15">
        <f>C61-E61</f>
        <v>1.5651193496224272</v>
      </c>
      <c r="E61" s="32">
        <f>IF(D62 &gt; $D$60,D62/$B61*100,0)</f>
        <v>0</v>
      </c>
      <c r="F61" s="78">
        <v>122</v>
      </c>
      <c r="G61" s="79">
        <v>122</v>
      </c>
      <c r="H61" s="79">
        <v>103.66357421875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347.66357421875</v>
      </c>
      <c r="X61" s="96">
        <v>28</v>
      </c>
      <c r="Y61" s="96">
        <v>2</v>
      </c>
      <c r="Z61" s="39">
        <v>103.66357421875</v>
      </c>
      <c r="AA61" s="97"/>
    </row>
    <row r="62" spans="1:35" ht="16.95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+SIGN($R61)+SIGN($S61)+SIGN($T61)+SIGN($V61))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+ROUNDDOWN(($T61-$C$58)/$C$57,0)+ROUNDDOWN(($V61-$C$58)/$C$57,0))</f>
        <v>2.3869363395224923</v>
      </c>
      <c r="E62" s="129">
        <f>B61</f>
        <v>344.1869363395225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95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9.3990891553587463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99999999999999" x14ac:dyDescent="0.35">
      <c r="A64" s="60">
        <f>Лист1!G$3</f>
        <v>7.5</v>
      </c>
      <c r="B64" s="13">
        <f>Лист1!G$12</f>
        <v>368.77171750663126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1.5651193496224327</v>
      </c>
      <c r="D64" s="15">
        <f>C64-E64</f>
        <v>1.5651193496224327</v>
      </c>
      <c r="E64" s="32">
        <f t="shared" ref="E64:E100" si="7">IF(D65 &gt; $D$60,D65/$B64*100,0)</f>
        <v>0</v>
      </c>
      <c r="F64" s="78">
        <v>97.8</v>
      </c>
      <c r="G64" s="79">
        <v>85.7</v>
      </c>
      <c r="H64" s="79">
        <v>85.7</v>
      </c>
      <c r="I64" s="79">
        <v>103.29667358398439</v>
      </c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372.49667358398438</v>
      </c>
      <c r="X64" s="96">
        <v>30</v>
      </c>
      <c r="Y64" s="96">
        <v>3</v>
      </c>
      <c r="Z64" s="39">
        <v>6.496673583984375</v>
      </c>
      <c r="AA64" s="97">
        <v>68.503326416015625</v>
      </c>
      <c r="AB64" s="135">
        <v>6</v>
      </c>
      <c r="AC64" s="135">
        <v>3</v>
      </c>
      <c r="AD64" s="135">
        <v>3</v>
      </c>
      <c r="AE64" s="135">
        <v>3</v>
      </c>
      <c r="AF64" s="39">
        <v>24.2</v>
      </c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+SIGN($R64)+SIGN($S64)+SIGN($T64)+SIGN($V64))</f>
        <v>4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+ROUNDDOWN(($T64-$C$58)/$C$57,0)+ROUNDDOWN(($V64-$C$58)/$C$57,0))</f>
        <v>1.771717506631262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99999999999999" x14ac:dyDescent="0.35">
      <c r="A67" s="60">
        <f>Лист1!H$3</f>
        <v>8</v>
      </c>
      <c r="B67" s="13">
        <f>Лист1!H$12</f>
        <v>393.35649867374002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1.5651193496224374</v>
      </c>
      <c r="D67" s="15">
        <f>C67-E67</f>
        <v>1.5651193496224374</v>
      </c>
      <c r="E67" s="32">
        <f t="shared" si="7"/>
        <v>0</v>
      </c>
      <c r="F67" s="78">
        <v>97.8</v>
      </c>
      <c r="G67" s="79">
        <v>97.8</v>
      </c>
      <c r="H67" s="79">
        <v>97.8</v>
      </c>
      <c r="I67" s="79">
        <v>103.9298034667969</v>
      </c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397.32980346679688</v>
      </c>
      <c r="X67" s="96">
        <v>32</v>
      </c>
      <c r="Y67" s="96">
        <v>3</v>
      </c>
      <c r="Z67" s="39">
        <v>31.329803466796875</v>
      </c>
      <c r="AA67" s="97">
        <v>43.670196533203125</v>
      </c>
      <c r="AB67" s="135">
        <v>4</v>
      </c>
      <c r="AC67" s="135">
        <v>3</v>
      </c>
      <c r="AD67" s="135">
        <v>2</v>
      </c>
      <c r="AE67" s="135">
        <v>3</v>
      </c>
      <c r="AF67" s="39">
        <v>24.2</v>
      </c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+SIGN($R67)+SIGN($S67)+SIGN($T67)+SIGN($V67))</f>
        <v>4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+ROUNDDOWN(($T67-$C$58)/$C$57,0)+ROUNDDOWN(($V67-$C$58)/$C$57,0))</f>
        <v>2.1564986737400318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99999999999999" x14ac:dyDescent="0.35">
      <c r="A70" s="60">
        <f>Лист1!I$3</f>
        <v>8.5</v>
      </c>
      <c r="B70" s="13">
        <f>Лист1!I$12</f>
        <v>417.94127984084878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1.5651193496224416</v>
      </c>
      <c r="D70" s="15">
        <f>C70-E70</f>
        <v>1.5651193496224416</v>
      </c>
      <c r="E70" s="32">
        <f t="shared" si="7"/>
        <v>0</v>
      </c>
      <c r="F70" s="78">
        <v>109.9</v>
      </c>
      <c r="G70" s="79">
        <v>109.9</v>
      </c>
      <c r="H70" s="79">
        <v>97.8</v>
      </c>
      <c r="I70" s="79">
        <v>104.56290283203123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422.16290283203125</v>
      </c>
      <c r="X70" s="96">
        <v>34</v>
      </c>
      <c r="Y70" s="96">
        <v>3</v>
      </c>
      <c r="Z70" s="39">
        <v>56.16290283203125</v>
      </c>
      <c r="AA70" s="97">
        <v>18.83709716796875</v>
      </c>
      <c r="AB70" s="135">
        <v>2</v>
      </c>
      <c r="AC70" s="135">
        <v>3</v>
      </c>
      <c r="AD70" s="135">
        <v>2</v>
      </c>
      <c r="AE70" s="135">
        <v>3</v>
      </c>
      <c r="AF70" s="39">
        <v>24.2</v>
      </c>
    </row>
    <row r="71" spans="1:32" s="12" customFormat="1" ht="16.95" hidden="1" x14ac:dyDescent="0.3">
      <c r="A71" s="58"/>
      <c r="B71" s="194"/>
      <c r="C71" s="19">
        <f>$C$58*
(SIGN($F70)+SIGN($G70)+SIGN($H70)+SIGN($I70)
+SIGN($J70)+SIGN($K70)+SIGN($L70)+SIGN($M70)
+SIGN($N70)+SIGN($O70)+SIGN($P70)+SIGN($Q70)
+SIGN($R70)+SIGN($S70)+SIGN($T70)+SIGN($V70))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+ROUNDDOWN(($T70-$C$58)/$C$57,0)+ROUNDDOWN(($V70-$C$58)/$C$57,0))</f>
        <v>2.5412798408488015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194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99999999999999" x14ac:dyDescent="0.35">
      <c r="A73" s="60">
        <f>Лист1!J$3</f>
        <v>9</v>
      </c>
      <c r="B73" s="13">
        <f>Лист1!J$12</f>
        <v>442.52606100795754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1.5651193496224454</v>
      </c>
      <c r="D73" s="15">
        <f>C73-E73</f>
        <v>1.5651193496224454</v>
      </c>
      <c r="E73" s="32">
        <f t="shared" si="7"/>
        <v>0</v>
      </c>
      <c r="F73" s="78">
        <v>122</v>
      </c>
      <c r="G73" s="79">
        <v>109.9</v>
      </c>
      <c r="H73" s="79">
        <v>109.9</v>
      </c>
      <c r="I73" s="79">
        <v>105.19603271484374</v>
      </c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446.99603271484375</v>
      </c>
      <c r="X73" s="135">
        <v>36</v>
      </c>
      <c r="Y73" s="135">
        <v>3</v>
      </c>
      <c r="Z73" s="39">
        <v>80.99603271484375</v>
      </c>
      <c r="AA73" s="141"/>
      <c r="AB73" s="135"/>
      <c r="AC73" s="135">
        <v>3</v>
      </c>
      <c r="AD73" s="135">
        <v>1</v>
      </c>
      <c r="AE73" s="135">
        <v>2</v>
      </c>
      <c r="AF73" s="39">
        <v>24.2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+SIGN($R73)+SIGN($S73)+SIGN($T73)+SIGN($V73))</f>
        <v>4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+ROUNDDOWN(($T73-$C$58)/$C$57,0)+ROUNDDOWN(($V73-$C$58)/$C$57,0))</f>
        <v>2.9260610079575713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99999999999999" x14ac:dyDescent="0.35">
      <c r="A76" s="60">
        <f>Лист1!K$3</f>
        <v>9.5</v>
      </c>
      <c r="B76" s="13">
        <f>Лист1!K$12</f>
        <v>467.1108421750663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1.5651193496224367</v>
      </c>
      <c r="D76" s="15">
        <f>C76-E76</f>
        <v>0.85632780035126199</v>
      </c>
      <c r="E76" s="32">
        <f t="shared" si="7"/>
        <v>0.70879154927117471</v>
      </c>
      <c r="F76" s="78">
        <v>122</v>
      </c>
      <c r="G76" s="79">
        <v>122</v>
      </c>
      <c r="H76" s="79">
        <v>122</v>
      </c>
      <c r="I76" s="79">
        <v>105.82913208007813</v>
      </c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471.82913208007813</v>
      </c>
      <c r="X76" s="135">
        <v>38</v>
      </c>
      <c r="Y76" s="135">
        <v>3</v>
      </c>
      <c r="Z76" s="39">
        <v>105.82913208007813</v>
      </c>
      <c r="AA76" s="39"/>
      <c r="AB76" s="135"/>
      <c r="AC76" s="135"/>
      <c r="AD76" s="135"/>
      <c r="AE76" s="135"/>
      <c r="AF76" s="39"/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+SIGN($R76)+SIGN($S76)+SIGN($T76)+SIGN($V76))</f>
        <v>4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+ROUNDDOWN(($T76-$C$58)/$C$57,0)+ROUNDDOWN(($V76-$C$58)/$C$57,0))</f>
        <v>3.3108421750662842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99999999999999" x14ac:dyDescent="0.35">
      <c r="A79" s="60">
        <f>Лист1!L$3</f>
        <v>10</v>
      </c>
      <c r="B79" s="13">
        <f>Лист1!L$12</f>
        <v>491.69562334217505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1.5651193496224403</v>
      </c>
      <c r="D79" s="15">
        <f>C79-E79</f>
        <v>1.5651193496224403</v>
      </c>
      <c r="E79" s="32">
        <f t="shared" si="7"/>
        <v>0</v>
      </c>
      <c r="F79" s="78">
        <v>97.8</v>
      </c>
      <c r="G79" s="79">
        <v>97.8</v>
      </c>
      <c r="H79" s="79">
        <v>97.8</v>
      </c>
      <c r="I79" s="79">
        <v>97.8</v>
      </c>
      <c r="J79" s="79">
        <v>105.46223144531251</v>
      </c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496.6622314453125</v>
      </c>
      <c r="X79" s="135">
        <v>41</v>
      </c>
      <c r="Y79" s="135">
        <v>4</v>
      </c>
      <c r="Z79" s="39">
        <v>8.6622314453125</v>
      </c>
      <c r="AA79" s="39">
        <v>66.3377685546875</v>
      </c>
      <c r="AB79" s="135">
        <v>6</v>
      </c>
      <c r="AC79" s="135">
        <v>3</v>
      </c>
      <c r="AD79" s="135">
        <v>3</v>
      </c>
      <c r="AE79" s="135">
        <v>4</v>
      </c>
      <c r="AF79" s="39">
        <v>24.2</v>
      </c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+SIGN($R79)+SIGN($S79)+SIGN($T79)+SIGN($V79))</f>
        <v>5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+ROUNDDOWN(($T79-$C$58)/$C$57,0)+ROUNDDOWN(($V79-$C$58)/$C$57,0))</f>
        <v>2.6956233421750539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99999999999999" x14ac:dyDescent="0.35">
      <c r="A82" s="60">
        <f>Лист1!M$3</f>
        <v>10.5</v>
      </c>
      <c r="B82" s="13">
        <f>Лист1!M$12</f>
        <v>516.28040450928381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1.5651193496224438</v>
      </c>
      <c r="D82" s="15">
        <f>C82-E82</f>
        <v>0.96846596468297508</v>
      </c>
      <c r="E82" s="32">
        <f t="shared" si="7"/>
        <v>0.59665338493946873</v>
      </c>
      <c r="F82" s="78">
        <v>109.9</v>
      </c>
      <c r="G82" s="79">
        <v>109.9</v>
      </c>
      <c r="H82" s="79">
        <v>109.9</v>
      </c>
      <c r="I82" s="79">
        <v>97.8</v>
      </c>
      <c r="J82" s="79">
        <v>93.995361328124943</v>
      </c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521.495361328125</v>
      </c>
      <c r="X82" s="135">
        <v>43</v>
      </c>
      <c r="Y82" s="135">
        <v>4</v>
      </c>
      <c r="Z82" s="39">
        <v>33.495361328125</v>
      </c>
      <c r="AA82" s="39">
        <v>41.504638671875</v>
      </c>
      <c r="AB82" s="135">
        <v>4</v>
      </c>
      <c r="AC82" s="135">
        <v>3</v>
      </c>
      <c r="AD82" s="135">
        <v>2</v>
      </c>
      <c r="AE82" s="135">
        <v>4</v>
      </c>
      <c r="AF82" s="39">
        <v>12.1</v>
      </c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+SIGN($R82)+SIGN($S82)+SIGN($T82)+SIGN($V82))</f>
        <v>5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+ROUNDDOWN(($T82-$C$58)/$C$57,0)+ROUNDDOWN(($V82-$C$58)/$C$57,0))</f>
        <v>3.0804045092838237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99999999999999" x14ac:dyDescent="0.35">
      <c r="A85" s="60">
        <f>Лист1!N$3</f>
        <v>11</v>
      </c>
      <c r="B85" s="13">
        <f>Лист1!N$12</f>
        <v>540.86518567639257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1.5651193496224465</v>
      </c>
      <c r="D85" s="15">
        <f>C85-E85</f>
        <v>0.92444478447011225</v>
      </c>
      <c r="E85" s="32">
        <f t="shared" si="7"/>
        <v>0.64067456515233423</v>
      </c>
      <c r="F85" s="78">
        <v>122</v>
      </c>
      <c r="G85" s="79">
        <v>109.9</v>
      </c>
      <c r="H85" s="79">
        <v>109.9</v>
      </c>
      <c r="I85" s="79">
        <v>109.9</v>
      </c>
      <c r="J85" s="79">
        <v>94.628491210937455</v>
      </c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546.3284912109375</v>
      </c>
      <c r="X85" s="135">
        <v>45</v>
      </c>
      <c r="Y85" s="135">
        <v>4</v>
      </c>
      <c r="Z85" s="39">
        <v>58.3284912109375</v>
      </c>
      <c r="AA85" s="39">
        <v>16.6715087890625</v>
      </c>
      <c r="AB85" s="135">
        <v>2</v>
      </c>
      <c r="AC85" s="135">
        <v>3</v>
      </c>
      <c r="AD85" s="135">
        <v>1</v>
      </c>
      <c r="AE85" s="135">
        <v>3</v>
      </c>
      <c r="AF85" s="39">
        <v>12.1</v>
      </c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+SIGN($R85)+SIGN($S85)+SIGN($T85)+SIGN($V85))</f>
        <v>5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+ROUNDDOWN(($T85-$C$58)/$C$57,0)+ROUNDDOWN(($V85-$C$58)/$C$57,0))</f>
        <v>3.4651856763925935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99999999999999" x14ac:dyDescent="0.35">
      <c r="A88" s="60">
        <f>Лист1!O$3</f>
        <v>11.2</v>
      </c>
      <c r="B88" s="13">
        <f>Лист1!O$12</f>
        <v>550.69909814323603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1.1256779181475349</v>
      </c>
      <c r="D88" s="15">
        <f>C88-E88</f>
        <v>1.1256779181475349</v>
      </c>
      <c r="E88" s="32">
        <f t="shared" si="7"/>
        <v>0</v>
      </c>
      <c r="F88" s="78">
        <v>122</v>
      </c>
      <c r="G88" s="79">
        <v>109.9</v>
      </c>
      <c r="H88" s="79">
        <v>109.9</v>
      </c>
      <c r="I88" s="79">
        <v>109.9</v>
      </c>
      <c r="J88" s="79">
        <v>104.56171874999995</v>
      </c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556.26171875</v>
      </c>
      <c r="X88" s="135">
        <v>45</v>
      </c>
      <c r="Y88" s="135">
        <v>4</v>
      </c>
      <c r="Z88" s="39">
        <v>68.26171875</v>
      </c>
      <c r="AA88" s="39">
        <v>6.73828125</v>
      </c>
      <c r="AB88" s="135">
        <v>1</v>
      </c>
      <c r="AC88" s="135">
        <v>3</v>
      </c>
      <c r="AD88" s="135">
        <v>1</v>
      </c>
      <c r="AE88" s="135">
        <v>3</v>
      </c>
      <c r="AF88" s="39">
        <v>24.2</v>
      </c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+SIGN($R88)+SIGN($S88)+SIGN($T88)+SIGN($V88))</f>
        <v>5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+ROUNDDOWN(($T88-$C$58)/$C$57,0)+ROUNDDOWN(($V88-$C$58)/$C$57,0))</f>
        <v>1.1990981432360286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99999999999999" x14ac:dyDescent="0.35">
      <c r="A91" s="60">
        <f>Лист1!P$3</f>
        <v>11.4</v>
      </c>
      <c r="B91" s="13">
        <f>Лист1!P$12</f>
        <v>560.5330106100796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0.70165548426825397</v>
      </c>
      <c r="D91" s="15">
        <f>C91-E91</f>
        <v>0.70165548426825397</v>
      </c>
      <c r="E91" s="32">
        <f t="shared" si="7"/>
        <v>0</v>
      </c>
      <c r="F91" s="78">
        <v>122</v>
      </c>
      <c r="G91" s="79">
        <v>122</v>
      </c>
      <c r="H91" s="79">
        <v>109.9</v>
      </c>
      <c r="I91" s="79">
        <v>109.9</v>
      </c>
      <c r="J91" s="79">
        <v>102.39494628906255</v>
      </c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566.1949462890625</v>
      </c>
      <c r="X91" s="135">
        <v>46</v>
      </c>
      <c r="Y91" s="135">
        <v>4</v>
      </c>
      <c r="Z91" s="39">
        <v>78.1949462890625</v>
      </c>
      <c r="AA91" s="39"/>
      <c r="AB91" s="135"/>
      <c r="AC91" s="135">
        <v>3</v>
      </c>
      <c r="AD91" s="135">
        <v>1</v>
      </c>
      <c r="AE91" s="135">
        <v>2</v>
      </c>
      <c r="AF91" s="39">
        <v>24.2</v>
      </c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+SIGN($R91)+SIGN($S91)+SIGN($T91)+SIGN($V91))</f>
        <v>5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+ROUNDDOWN(($T91-$C$58)/$C$57,0)+ROUNDDOWN(($V91-$C$58)/$C$57,0))</f>
        <v>-1.0669893899204226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99999999999999" x14ac:dyDescent="0.35">
      <c r="A94" s="60">
        <f>Лист1!Q$3</f>
        <v>11.6</v>
      </c>
      <c r="B94" s="27">
        <f>Лист1!Q$12</f>
        <v>570.36692307692306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0.29225451362618993</v>
      </c>
      <c r="D94" s="15">
        <f>C94-E94</f>
        <v>0.29225451362618993</v>
      </c>
      <c r="E94" s="32">
        <f t="shared" si="7"/>
        <v>0</v>
      </c>
      <c r="F94" s="85">
        <v>122</v>
      </c>
      <c r="G94" s="82">
        <v>122</v>
      </c>
      <c r="H94" s="82">
        <v>122</v>
      </c>
      <c r="I94" s="82">
        <v>109.9</v>
      </c>
      <c r="J94" s="82">
        <v>100.22823486328127</v>
      </c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576.12823486328125</v>
      </c>
      <c r="X94" s="135">
        <v>47</v>
      </c>
      <c r="Y94" s="135">
        <v>4</v>
      </c>
      <c r="Z94" s="39">
        <v>88.12823486328125</v>
      </c>
      <c r="AA94" s="39"/>
      <c r="AB94" s="135"/>
      <c r="AC94" s="135">
        <v>3</v>
      </c>
      <c r="AD94" s="135">
        <v>1</v>
      </c>
      <c r="AE94" s="135">
        <v>1</v>
      </c>
      <c r="AF94" s="39">
        <v>12.1</v>
      </c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+SIGN($R94)+SIGN($S94)+SIGN($T94)+SIGN($V94))</f>
        <v>5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+ROUNDDOWN(($T94-$C$58)/$C$57,0)+ROUNDDOWN(($V94-$C$58)/$C$57,0))</f>
        <v>-3.3330769230768738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99999999999999" x14ac:dyDescent="0.35">
      <c r="A97" s="60">
        <f>Лист1!R$3</f>
        <v>11.8</v>
      </c>
      <c r="B97" s="13">
        <f>Лист1!R$12</f>
        <v>580.20083554376652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-0.10326845801107806</v>
      </c>
      <c r="D97" s="15">
        <f>C97-E97</f>
        <v>-0.10326845801107806</v>
      </c>
      <c r="E97" s="32">
        <f t="shared" si="7"/>
        <v>0</v>
      </c>
      <c r="F97" s="78">
        <v>122</v>
      </c>
      <c r="G97" s="79">
        <v>122</v>
      </c>
      <c r="H97" s="79">
        <v>122</v>
      </c>
      <c r="I97" s="79">
        <v>122</v>
      </c>
      <c r="J97" s="79">
        <v>98.06146240234375</v>
      </c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586.06146240234375</v>
      </c>
      <c r="X97" s="135">
        <v>48</v>
      </c>
      <c r="Y97" s="135">
        <v>4</v>
      </c>
      <c r="Z97" s="39">
        <v>98.06146240234375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+SIGN($R97)+SIGN($S97)+SIGN($T97)+SIGN($V97))</f>
        <v>5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+ROUNDDOWN(($T97-$C$58)/$C$57,0)+ROUNDDOWN(($V97-$C$58)/$C$57,0))</f>
        <v>-5.5991644562334386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99999999999999" x14ac:dyDescent="0.35">
      <c r="A100" s="60">
        <f>Лист1!S$3</f>
        <v>12</v>
      </c>
      <c r="B100" s="13">
        <f>Лист1!S$12</f>
        <v>590.03474801060997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1.5651193496224329</v>
      </c>
      <c r="D100" s="15">
        <f>C100-E100</f>
        <v>0.84740771909760326</v>
      </c>
      <c r="E100" s="32">
        <f t="shared" si="7"/>
        <v>0.71771163052482967</v>
      </c>
      <c r="F100" s="88">
        <v>122</v>
      </c>
      <c r="G100" s="88">
        <v>122</v>
      </c>
      <c r="H100" s="88">
        <v>122</v>
      </c>
      <c r="I100" s="88">
        <v>122</v>
      </c>
      <c r="J100" s="88">
        <v>107.99468994140625</v>
      </c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595.99468994140625</v>
      </c>
      <c r="X100" s="135">
        <v>49</v>
      </c>
      <c r="Y100" s="135">
        <v>4</v>
      </c>
      <c r="Z100" s="39">
        <v>107.99468994140625</v>
      </c>
      <c r="AA100" s="141"/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+SIGN($R100)+SIGN($S100)+SIGN($T100)+SIGN($V100))</f>
        <v>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+ROUNDDOWN(($T100-$C$58)/$C$57,0)+ROUNDDOWN(($V100-$C$58)/$C$57,0))</f>
        <v>4.2347480106100193</v>
      </c>
      <c r="E101" s="129">
        <f>B100</f>
        <v>590.03474801060997</v>
      </c>
      <c r="F101" s="20">
        <f>C101-F100</f>
        <v>-117</v>
      </c>
      <c r="G101" s="26">
        <f t="shared" ref="G101:M101" si="8">F101-G100</f>
        <v>-239</v>
      </c>
      <c r="H101" s="26">
        <f t="shared" si="8"/>
        <v>-361</v>
      </c>
      <c r="I101" s="26">
        <f t="shared" si="8"/>
        <v>-483</v>
      </c>
      <c r="J101" s="26">
        <f t="shared" si="8"/>
        <v>-590.99468994140625</v>
      </c>
      <c r="K101" s="26">
        <f t="shared" si="8"/>
        <v>-590.99468994140625</v>
      </c>
      <c r="L101" s="26">
        <f t="shared" si="8"/>
        <v>-590.99468994140625</v>
      </c>
      <c r="M101" s="26">
        <f t="shared" si="8"/>
        <v>-590.99468994140625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9.6699958348861159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1.1778341969503521</v>
      </c>
      <c r="D103" s="31">
        <f>AVERAGE(D61,D64,D67,D70,D73,D76,D79,D82,D85,D88,D91,D94,D97,D100,)</f>
        <v>1.0002454549578319</v>
      </c>
      <c r="E103" s="31">
        <f>AVERAGE(E61,E64,E67,E70,E73,E76,E79,E82,E85,E88,E91,E94,E97,E100,)</f>
        <v>0.17758874199252048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95" x14ac:dyDescent="0.3">
      <c r="B104" s="30"/>
      <c r="C104" s="31"/>
      <c r="D104" s="31"/>
      <c r="E104" s="31"/>
      <c r="V104" s="38"/>
      <c r="W104" s="40"/>
    </row>
    <row r="105" spans="1:35" ht="16.95" x14ac:dyDescent="0.3">
      <c r="B105" s="30"/>
      <c r="C105" s="31"/>
      <c r="D105" s="31"/>
      <c r="E105" s="31"/>
      <c r="V105" s="38"/>
      <c r="W105" s="40"/>
    </row>
    <row r="106" spans="1:35" ht="16.95" x14ac:dyDescent="0.3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99999999999999" x14ac:dyDescent="0.35">
      <c r="A111" s="60">
        <f>Лист1!F$3</f>
        <v>7</v>
      </c>
      <c r="B111" s="13">
        <f>Лист1!F$12</f>
        <v>344.1869363395225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1.5651193496224272</v>
      </c>
      <c r="D111" s="15">
        <f>C111-E111</f>
        <v>1.5651193496224272</v>
      </c>
      <c r="E111" s="32">
        <f>IF(D112 &gt; $D$110,D112/$B111*100,0)</f>
        <v>0</v>
      </c>
      <c r="F111" s="120">
        <v>122</v>
      </c>
      <c r="G111" s="121">
        <v>109.9</v>
      </c>
      <c r="H111" s="121">
        <v>115.76357421874999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347.66357421875</v>
      </c>
      <c r="X111" s="96">
        <v>28</v>
      </c>
      <c r="Y111" s="96">
        <v>2</v>
      </c>
      <c r="Z111" s="39">
        <v>103.66357421875</v>
      </c>
      <c r="AA111" s="97"/>
      <c r="AC111" s="135">
        <v>2</v>
      </c>
      <c r="AD111" s="135">
        <v>1</v>
      </c>
      <c r="AE111" s="135">
        <v>1</v>
      </c>
      <c r="AF111" s="39">
        <v>12.1</v>
      </c>
    </row>
    <row r="112" spans="1:35" ht="16.95" hidden="1" x14ac:dyDescent="0.3">
      <c r="A112" s="58"/>
      <c r="B112" s="195"/>
      <c r="C112" s="19">
        <f>$C$58*
(SIGN($F111)+SIGN($G111)+SIGN($H111)+SIGN($I111)
+SIGN($J111)+SIGN($K111)+SIGN($L111)+SIGN($M111)
+SIGN($N111)+SIGN($O111)+SIGN($P111)+SIGN($Q111)
+SIGN($R111)+SIGN($S111)+SIGN($T111)+SIGN($U111))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+ROUNDDOWN(($T111-$C$108)/$C$107,0)+ROUNDDOWN(($U111-$C$108)/$C$107,0))</f>
        <v>2.3869363395224923</v>
      </c>
      <c r="E112" s="129">
        <f>B111</f>
        <v>344.1869363395225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95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9.3990891553587463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99999999999999" x14ac:dyDescent="0.35">
      <c r="A114" s="60">
        <f>Лист1!G$3</f>
        <v>7.5</v>
      </c>
      <c r="B114" s="13">
        <f>Лист1!G$12</f>
        <v>368.77171750663126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1.5651193496224327</v>
      </c>
      <c r="D114" s="15">
        <f>C114-E114</f>
        <v>1.5651193496224327</v>
      </c>
      <c r="E114" s="32">
        <f>IF(D115 &gt; $D$110,D115/$B114*100,0)</f>
        <v>0</v>
      </c>
      <c r="F114" s="120">
        <v>124.16555786132813</v>
      </c>
      <c r="G114" s="121">
        <v>124.16555786132813</v>
      </c>
      <c r="H114" s="121">
        <v>124.16555786132813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372.49667358398438</v>
      </c>
      <c r="X114" s="96">
        <v>30</v>
      </c>
      <c r="Y114" s="96">
        <v>3</v>
      </c>
      <c r="Z114" s="39">
        <v>6.496673583984375</v>
      </c>
      <c r="AA114" s="97">
        <v>88.503326416015625</v>
      </c>
      <c r="AB114" s="135">
        <v>8</v>
      </c>
      <c r="AC114" s="135">
        <v>2</v>
      </c>
      <c r="AD114" s="135">
        <v>4</v>
      </c>
      <c r="AE114" s="135">
        <v>3</v>
      </c>
      <c r="AF114" s="39"/>
    </row>
    <row r="115" spans="1:32" s="12" customFormat="1" ht="16.95" hidden="1" x14ac:dyDescent="0.3">
      <c r="A115" s="58"/>
      <c r="B115" s="13"/>
      <c r="C115" s="19">
        <f>$C$58*
(SIGN($F114)+SIGN($G114)+SIGN($H114)+SIGN($I114)
+SIGN($J114)+SIGN($K114)+SIGN($L114)+SIGN($M114)
+SIGN($N114)+SIGN($O114)+SIGN($P114)+SIGN($Q114)
+SIGN($R114)+SIGN($S114)+SIGN($T114)+SIGN($U114))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+ROUNDDOWN(($T114-$C$108)/$C$107,0)+ROUNDDOWN(($U114-$C$108)/$C$107,0))</f>
        <v>2.771717506631262</v>
      </c>
      <c r="E115" s="129">
        <f>B114</f>
        <v>368.77171750663126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7.5366057336080843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99999999999999" x14ac:dyDescent="0.35">
      <c r="A117" s="60">
        <f>Лист1!H$3</f>
        <v>8</v>
      </c>
      <c r="B117" s="13">
        <f>Лист1!H$12</f>
        <v>393.35649867374002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1.5651193496224374</v>
      </c>
      <c r="D117" s="15">
        <f>C117-E117</f>
        <v>1.5651193496224374</v>
      </c>
      <c r="E117" s="32">
        <f>IF(D118 &gt; $D$110,D118/$B117*100,0)</f>
        <v>0</v>
      </c>
      <c r="F117" s="120">
        <v>99.332450866699219</v>
      </c>
      <c r="G117" s="121">
        <v>99.332450866699219</v>
      </c>
      <c r="H117" s="121">
        <v>99.332450866699219</v>
      </c>
      <c r="I117" s="121">
        <v>99.332450866699219</v>
      </c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397.32980346679688</v>
      </c>
      <c r="X117" s="96">
        <v>32</v>
      </c>
      <c r="Y117" s="96">
        <v>3</v>
      </c>
      <c r="Z117" s="39">
        <v>31.329803466796875</v>
      </c>
      <c r="AA117" s="97">
        <v>63.670196533203125</v>
      </c>
      <c r="AB117" s="135">
        <v>6</v>
      </c>
      <c r="AC117" s="135">
        <v>2</v>
      </c>
      <c r="AD117" s="135">
        <v>4</v>
      </c>
      <c r="AE117" s="135">
        <v>3</v>
      </c>
      <c r="AF117" s="39">
        <v>12.1</v>
      </c>
    </row>
    <row r="118" spans="1:32" s="12" customFormat="1" ht="16.95" hidden="1" x14ac:dyDescent="0.3">
      <c r="A118" s="58"/>
      <c r="B118" s="13"/>
      <c r="C118" s="19">
        <f>$C$58*
(SIGN($F117)+SIGN($G117)+SIGN($H117)+SIGN($I117)
+SIGN($J117)+SIGN($K117)+SIGN($L117)+SIGN($M117)
+SIGN($N117)+SIGN($O117)+SIGN($P117)+SIGN($Q117)
+SIGN($R117)+SIGN($S117)+SIGN($T117)+SIGN($U117))</f>
        <v>4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+ROUNDDOWN(($T117-$C$108)/$C$107,0)+ROUNDDOWN(($U117-$C$108)/$C$107,0))</f>
        <v>2.1564986737400318</v>
      </c>
      <c r="E118" s="129">
        <f>B117</f>
        <v>393.35649867374002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8.044555757721902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99999999999999" x14ac:dyDescent="0.35">
      <c r="A120" s="60">
        <f>Лист1!I$3</f>
        <v>8.5</v>
      </c>
      <c r="B120" s="13">
        <f>Лист1!I$12</f>
        <v>417.94127984084878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1.5651193496224416</v>
      </c>
      <c r="D120" s="15">
        <f>C120-E120</f>
        <v>1.5651193496224416</v>
      </c>
      <c r="E120" s="32">
        <f>IF(D121 &gt; $D$110,D121/$B120*100,0)</f>
        <v>0</v>
      </c>
      <c r="F120" s="120">
        <v>109.9</v>
      </c>
      <c r="G120" s="121">
        <v>109.9</v>
      </c>
      <c r="H120" s="121">
        <v>97.8</v>
      </c>
      <c r="I120" s="121">
        <v>104.56290283203123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422.16290283203125</v>
      </c>
      <c r="X120" s="96">
        <v>34</v>
      </c>
      <c r="Y120" s="96">
        <v>3</v>
      </c>
      <c r="Z120" s="39">
        <v>56.16290283203125</v>
      </c>
      <c r="AA120" s="97">
        <v>38.83709716796875</v>
      </c>
      <c r="AB120" s="135">
        <v>4</v>
      </c>
      <c r="AC120" s="135">
        <v>2</v>
      </c>
      <c r="AD120" s="135">
        <v>2</v>
      </c>
      <c r="AE120" s="135">
        <v>3</v>
      </c>
      <c r="AF120" s="39"/>
    </row>
    <row r="121" spans="1:32" s="12" customFormat="1" ht="16.95" hidden="1" x14ac:dyDescent="0.3">
      <c r="A121" s="58"/>
      <c r="B121" s="194"/>
      <c r="C121" s="19">
        <f>$C$58*
(SIGN($F120)+SIGN($G120)+SIGN($H120)+SIGN($I120)
+SIGN($J120)+SIGN($K120)+SIGN($L120)+SIGN($M120)
+SIGN($N120)+SIGN($O120)+SIGN($P120)+SIGN($Q120)
+SIGN($R120)+SIGN($S120)+SIGN($T120)+SIGN($U120))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+ROUNDDOWN(($T120-$C$108)/$C$107,0)+ROUNDDOWN(($U120-$C$108)/$C$107,0))</f>
        <v>2.5412798408488015</v>
      </c>
      <c r="E121" s="129">
        <f>B120</f>
        <v>417.94127984084878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194"/>
      <c r="C122" s="22"/>
      <c r="D122" s="22"/>
      <c r="E122" s="22">
        <f>IF(B120&gt;0,(B120/ROUNDUP(ROUNDUP(((B120-($C$108*ROUNDUP(B120/$H$108,0)))/$C$107),0)/$H$107,0)-$C$108)/$C$107,0-$C$108/$C$107)</f>
        <v>8.552505781835718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99999999999999" x14ac:dyDescent="0.35">
      <c r="A123" s="60">
        <f>Лист1!J$3</f>
        <v>9</v>
      </c>
      <c r="B123" s="13">
        <f>Лист1!J$12</f>
        <v>442.52606100795754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1.5651193496224454</v>
      </c>
      <c r="D123" s="15">
        <f>C123-E123</f>
        <v>1.5651193496224454</v>
      </c>
      <c r="E123" s="32">
        <f>IF(D124 &gt; $D$110,D124/$B123*100,0)</f>
        <v>0</v>
      </c>
      <c r="F123" s="78">
        <v>122</v>
      </c>
      <c r="G123" s="79">
        <v>109.9</v>
      </c>
      <c r="H123" s="79">
        <v>109.9</v>
      </c>
      <c r="I123" s="79">
        <v>105.19603271484374</v>
      </c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446.99603271484375</v>
      </c>
      <c r="X123" s="135">
        <v>36</v>
      </c>
      <c r="Y123" s="135">
        <v>3</v>
      </c>
      <c r="Z123" s="39">
        <v>80.99603271484375</v>
      </c>
      <c r="AA123" s="39">
        <v>14.00396728515625</v>
      </c>
      <c r="AB123" s="135">
        <v>2</v>
      </c>
      <c r="AC123" s="135">
        <v>2</v>
      </c>
      <c r="AD123" s="135">
        <v>1</v>
      </c>
      <c r="AE123" s="135">
        <v>2</v>
      </c>
      <c r="AF123" s="39"/>
    </row>
    <row r="124" spans="1:32" s="12" customFormat="1" ht="16.95" hidden="1" x14ac:dyDescent="0.3">
      <c r="A124" s="59"/>
      <c r="B124" s="18"/>
      <c r="C124" s="19">
        <f>$C$58*
(SIGN($F123)+SIGN($G123)+SIGN($H123)+SIGN($I123)
+SIGN($J123)+SIGN($K123)+SIGN($L123)+SIGN($M123)
+SIGN($N123)+SIGN($O123)+SIGN($P123)+SIGN($Q123)
+SIGN($R123)+SIGN($S123)+SIGN($T123)+SIGN($U123))</f>
        <v>4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+ROUNDDOWN(($T123-$C$108)/$C$107,0)+ROUNDDOWN(($U123-$C$108)/$C$107,0))</f>
        <v>2.9260610079575713</v>
      </c>
      <c r="E124" s="129">
        <f>B123</f>
        <v>442.52606100795754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9.0604558059495357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99999999999999" x14ac:dyDescent="0.35">
      <c r="A126" s="60">
        <f>Лист1!K$3</f>
        <v>9.5</v>
      </c>
      <c r="B126" s="13">
        <f>Лист1!K$12</f>
        <v>467.1108421750663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1.5651193496224367</v>
      </c>
      <c r="D126" s="15">
        <f>C126-E126</f>
        <v>0.85632780035126199</v>
      </c>
      <c r="E126" s="32">
        <f>IF(D127 &gt; $D$110,D127/$B126*100,0)</f>
        <v>0.70879154927117471</v>
      </c>
      <c r="F126" s="78">
        <v>122</v>
      </c>
      <c r="G126" s="79">
        <v>122</v>
      </c>
      <c r="H126" s="79">
        <v>122</v>
      </c>
      <c r="I126" s="79">
        <v>105.82913208007813</v>
      </c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471.82913208007813</v>
      </c>
      <c r="X126" s="135">
        <v>38</v>
      </c>
      <c r="Y126" s="135">
        <v>3</v>
      </c>
      <c r="Z126" s="39">
        <v>105.82913208007813</v>
      </c>
      <c r="AA126" s="39"/>
      <c r="AB126" s="135"/>
      <c r="AC126" s="135"/>
      <c r="AD126" s="135"/>
      <c r="AE126" s="135"/>
      <c r="AF126" s="39"/>
    </row>
    <row r="127" spans="1:32" s="12" customFormat="1" ht="16.95" hidden="1" x14ac:dyDescent="0.3">
      <c r="A127" s="59"/>
      <c r="B127" s="13"/>
      <c r="C127" s="19">
        <f>$C$58*
(SIGN($F126)+SIGN($G126)+SIGN($H126)+SIGN($I126)
+SIGN($J126)+SIGN($K126)+SIGN($L126)+SIGN($M126)
+SIGN($N126)+SIGN($O126)+SIGN($P126)+SIGN($Q126)
+SIGN($R126)+SIGN($S126)+SIGN($T126)+SIGN($U126))</f>
        <v>4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+ROUNDDOWN(($T126-$C$108)/$C$107,0)+ROUNDDOWN(($U126-$C$108)/$C$107,0))</f>
        <v>3.3108421750662842</v>
      </c>
      <c r="E127" s="129">
        <f>B126</f>
        <v>467.1108421750663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9.5684058300633534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99999999999999" x14ac:dyDescent="0.35">
      <c r="A129" s="60">
        <f>Лист1!L$3</f>
        <v>10</v>
      </c>
      <c r="B129" s="13">
        <f>Лист1!L$12</f>
        <v>491.69562334217505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1.5651193496224403</v>
      </c>
      <c r="D129" s="15">
        <f>C129-E129</f>
        <v>1.5651193496224403</v>
      </c>
      <c r="E129" s="32">
        <f>IF(D130 &gt; $D$110,D130/$B129*100,0)</f>
        <v>0</v>
      </c>
      <c r="F129" s="78">
        <v>97.8</v>
      </c>
      <c r="G129" s="79">
        <v>97.8</v>
      </c>
      <c r="H129" s="79">
        <v>97.8</v>
      </c>
      <c r="I129" s="79">
        <v>97.8</v>
      </c>
      <c r="J129" s="79">
        <v>105.46223144531251</v>
      </c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496.6622314453125</v>
      </c>
      <c r="X129" s="135">
        <v>41</v>
      </c>
      <c r="Y129" s="135">
        <v>4</v>
      </c>
      <c r="Z129" s="39">
        <v>8.6622314453125</v>
      </c>
      <c r="AA129" s="39">
        <v>86.3377685546875</v>
      </c>
      <c r="AB129" s="135">
        <v>8</v>
      </c>
      <c r="AC129" s="135">
        <v>2</v>
      </c>
      <c r="AD129" s="135">
        <v>4</v>
      </c>
      <c r="AE129" s="135">
        <v>4</v>
      </c>
      <c r="AF129" s="39"/>
    </row>
    <row r="130" spans="1:32" s="12" customFormat="1" ht="18.899999999999999" hidden="1" x14ac:dyDescent="0.35">
      <c r="A130" s="60"/>
      <c r="B130" s="13"/>
      <c r="C130" s="19">
        <f>$C$58*
(SIGN($F129)+SIGN($G129)+SIGN($H129)+SIGN($I129)
+SIGN($J129)+SIGN($K129)+SIGN($L129)+SIGN($M129)
+SIGN($N129)+SIGN($O129)+SIGN($P129)+SIGN($Q129)
+SIGN($R129)+SIGN($S129)+SIGN($T129)+SIGN($U129))</f>
        <v>5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+ROUNDDOWN(($T129-$C$108)/$C$107,0)+ROUNDDOWN(($U129-$C$108)/$C$107,0))</f>
        <v>2.6956233421750539</v>
      </c>
      <c r="E130" s="129">
        <f>B129</f>
        <v>491.69562334217505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8.044555757721902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99999999999999" x14ac:dyDescent="0.35">
      <c r="A132" s="60">
        <f>Лист1!M$3</f>
        <v>10.5</v>
      </c>
      <c r="B132" s="13">
        <f>Лист1!M$12</f>
        <v>516.28040450928381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1.5651193496224438</v>
      </c>
      <c r="D132" s="15">
        <f>C132-E132</f>
        <v>0.96846596468297508</v>
      </c>
      <c r="E132" s="32">
        <f>IF(D133 &gt; $D$110,D133/$B132*100,0)</f>
        <v>0.59665338493946873</v>
      </c>
      <c r="F132" s="78">
        <v>109.9</v>
      </c>
      <c r="G132" s="79">
        <v>109.9</v>
      </c>
      <c r="H132" s="79">
        <v>97.8</v>
      </c>
      <c r="I132" s="79">
        <v>97.8</v>
      </c>
      <c r="J132" s="79">
        <v>106.09536132812497</v>
      </c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521.495361328125</v>
      </c>
      <c r="X132" s="135">
        <v>43</v>
      </c>
      <c r="Y132" s="135">
        <v>4</v>
      </c>
      <c r="Z132" s="39">
        <v>33.495361328125</v>
      </c>
      <c r="AA132" s="39">
        <v>61.504638671875</v>
      </c>
      <c r="AB132" s="135">
        <v>6</v>
      </c>
      <c r="AC132" s="135">
        <v>2</v>
      </c>
      <c r="AD132" s="135">
        <v>3</v>
      </c>
      <c r="AE132" s="135">
        <v>4</v>
      </c>
      <c r="AF132" s="39"/>
    </row>
    <row r="133" spans="1:32" s="12" customFormat="1" ht="18.899999999999999" hidden="1" x14ac:dyDescent="0.35">
      <c r="A133" s="60"/>
      <c r="B133" s="13"/>
      <c r="C133" s="19">
        <f>$C$58*
(SIGN($F132)+SIGN($G132)+SIGN($H132)+SIGN($I132)
+SIGN($J132)+SIGN($K132)+SIGN($L132)+SIGN($M132)
+SIGN($N132)+SIGN($O132)+SIGN($P132)+SIGN($Q132)
+SIGN($R132)+SIGN($S132)+SIGN($T132)+SIGN($U132))</f>
        <v>5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+ROUNDDOWN(($T132-$C$108)/$C$107,0)+ROUNDDOWN(($U132-$C$108)/$C$107,0))</f>
        <v>3.0804045092838237</v>
      </c>
      <c r="E133" s="129">
        <f>B132</f>
        <v>516.28040450928381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8.4509157770129555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99999999999999" x14ac:dyDescent="0.35">
      <c r="A135" s="60">
        <f>Лист1!N$3</f>
        <v>11</v>
      </c>
      <c r="B135" s="13">
        <f>Лист1!N$12</f>
        <v>540.86518567639257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1.5651193496224465</v>
      </c>
      <c r="D135" s="15">
        <f>C135-E135</f>
        <v>0.92444478447011225</v>
      </c>
      <c r="E135" s="32">
        <f>IF(D136 &gt; $D$110,D136/$B135*100,0)</f>
        <v>0.64067456515233423</v>
      </c>
      <c r="F135" s="78">
        <v>109.9</v>
      </c>
      <c r="G135" s="79">
        <v>109.9</v>
      </c>
      <c r="H135" s="79">
        <v>109.9</v>
      </c>
      <c r="I135" s="79">
        <v>109.9</v>
      </c>
      <c r="J135" s="79">
        <v>106.72849121093748</v>
      </c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546.3284912109375</v>
      </c>
      <c r="X135" s="135">
        <v>45</v>
      </c>
      <c r="Y135" s="135">
        <v>4</v>
      </c>
      <c r="Z135" s="39">
        <v>58.3284912109375</v>
      </c>
      <c r="AA135" s="39">
        <v>36.6715087890625</v>
      </c>
      <c r="AB135" s="135">
        <v>4</v>
      </c>
      <c r="AC135" s="135">
        <v>2</v>
      </c>
      <c r="AD135" s="135">
        <v>2</v>
      </c>
      <c r="AE135" s="135">
        <v>4</v>
      </c>
      <c r="AF135" s="39"/>
    </row>
    <row r="136" spans="1:32" s="12" customFormat="1" ht="18.899999999999999" hidden="1" x14ac:dyDescent="0.35">
      <c r="A136" s="60"/>
      <c r="B136" s="13"/>
      <c r="C136" s="19">
        <f>$C$58*
(SIGN($F135)+SIGN($G135)+SIGN($H135)+SIGN($I135)
+SIGN($J135)+SIGN($K135)+SIGN($L135)+SIGN($M135)
+SIGN($N135)+SIGN($O135)+SIGN($P135)+SIGN($Q135)
+SIGN($R135)+SIGN($S135)+SIGN($T135)+SIGN($U135))</f>
        <v>5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+ROUNDDOWN(($T135-$C$108)/$C$107,0)+ROUNDDOWN(($U135-$C$108)/$C$107,0))</f>
        <v>3.4651856763925935</v>
      </c>
      <c r="E136" s="129">
        <f>B135</f>
        <v>540.86518567639257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8.8572757963040107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99999999999999" x14ac:dyDescent="0.35">
      <c r="A138" s="60">
        <f>Лист1!O$3</f>
        <v>11.2</v>
      </c>
      <c r="B138" s="13">
        <f>Лист1!O$12</f>
        <v>550.69909814323603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1.1256779181475349</v>
      </c>
      <c r="D138" s="15">
        <f>C138-E138</f>
        <v>1.1256779181475349</v>
      </c>
      <c r="E138" s="32">
        <f>IF(D139 &gt; $D$110,D139/$B138*100,0)</f>
        <v>0</v>
      </c>
      <c r="F138" s="78">
        <v>122</v>
      </c>
      <c r="G138" s="79">
        <v>109.9</v>
      </c>
      <c r="H138" s="79">
        <v>109.9</v>
      </c>
      <c r="I138" s="79">
        <v>109.9</v>
      </c>
      <c r="J138" s="79">
        <v>104.56171874999995</v>
      </c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556.26171875</v>
      </c>
      <c r="X138" s="135">
        <v>45</v>
      </c>
      <c r="Y138" s="135">
        <v>4</v>
      </c>
      <c r="Z138" s="39">
        <v>68.26171875</v>
      </c>
      <c r="AA138" s="39">
        <v>26.73828125</v>
      </c>
      <c r="AB138" s="135">
        <v>3</v>
      </c>
      <c r="AC138" s="135">
        <v>2</v>
      </c>
      <c r="AD138" s="135">
        <v>2</v>
      </c>
      <c r="AE138" s="135">
        <v>3</v>
      </c>
      <c r="AF138" s="39"/>
    </row>
    <row r="139" spans="1:32" s="12" customFormat="1" ht="18.899999999999999" hidden="1" x14ac:dyDescent="0.35">
      <c r="A139" s="60"/>
      <c r="B139" s="13"/>
      <c r="C139" s="19">
        <f>$C$58*
(SIGN($F138)+SIGN($G138)+SIGN($H138)+SIGN($I138)
+SIGN($J138)+SIGN($K138)+SIGN($L138)+SIGN($M138)
+SIGN($N138)+SIGN($O138)+SIGN($P138)+SIGN($Q138)
+SIGN($R138)+SIGN($S138)+SIGN($T138)+SIGN($U138))</f>
        <v>5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+ROUNDDOWN(($T138-$C$108)/$C$107,0)+ROUNDDOWN(($U138-$C$108)/$C$107,0))</f>
        <v>1.1990981432360286</v>
      </c>
      <c r="E139" s="129">
        <f>B138</f>
        <v>550.69909814323603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9.0198198040204307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99999999999999" x14ac:dyDescent="0.35">
      <c r="A141" s="60">
        <f>Лист1!P$3</f>
        <v>11.4</v>
      </c>
      <c r="B141" s="13">
        <f>Лист1!P$12</f>
        <v>560.5330106100796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0.70165548426825397</v>
      </c>
      <c r="D141" s="15">
        <f>C141-E141</f>
        <v>0.70165548426825397</v>
      </c>
      <c r="E141" s="32">
        <f>IF(D142 &gt; $D$110,D142/$B141*100,0)</f>
        <v>0</v>
      </c>
      <c r="F141" s="78">
        <v>122</v>
      </c>
      <c r="G141" s="79">
        <v>109.9</v>
      </c>
      <c r="H141" s="79">
        <v>109.9</v>
      </c>
      <c r="I141" s="79">
        <v>109.9</v>
      </c>
      <c r="J141" s="79">
        <v>114.49494628906245</v>
      </c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566.1949462890625</v>
      </c>
      <c r="X141" s="135">
        <v>46</v>
      </c>
      <c r="Y141" s="135">
        <v>4</v>
      </c>
      <c r="Z141" s="39">
        <v>78.1949462890625</v>
      </c>
      <c r="AA141" s="39">
        <v>16.8050537109375</v>
      </c>
      <c r="AB141" s="135">
        <v>2</v>
      </c>
      <c r="AC141" s="135">
        <v>2</v>
      </c>
      <c r="AD141" s="135">
        <v>2</v>
      </c>
      <c r="AE141" s="135">
        <v>3</v>
      </c>
      <c r="AF141" s="39">
        <v>12.1</v>
      </c>
    </row>
    <row r="142" spans="1:32" s="12" customFormat="1" ht="18.899999999999999" hidden="1" x14ac:dyDescent="0.35">
      <c r="A142" s="60"/>
      <c r="B142" s="13"/>
      <c r="C142" s="19">
        <f>$C$58*
(SIGN($F141)+SIGN($G141)+SIGN($H141)+SIGN($I141)
+SIGN($J141)+SIGN($K141)+SIGN($L141)+SIGN($M141)
+SIGN($N141)+SIGN($O141)+SIGN($P141)+SIGN($Q141)
+SIGN($R141)+SIGN($S141)+SIGN($T141)+SIGN($U141))</f>
        <v>5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+ROUNDDOWN(($T141-$C$108)/$C$107,0)+ROUNDDOWN(($U141-$C$108)/$C$107,0))</f>
        <v>-1.0669893899204226</v>
      </c>
      <c r="E142" s="129">
        <f>B141</f>
        <v>560.5330106100796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9.1823638117368525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99999999999999" x14ac:dyDescent="0.35">
      <c r="A144" s="60">
        <f>Лист1!Q$3</f>
        <v>11.6</v>
      </c>
      <c r="B144" s="27">
        <f>Лист1!Q$12</f>
        <v>570.36692307692306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0.29225451362618993</v>
      </c>
      <c r="D144" s="15">
        <f>C144-E144</f>
        <v>0.29225451362618993</v>
      </c>
      <c r="E144" s="32">
        <f>IF(D145 &gt; $D$110,D145/$B144*100,0)</f>
        <v>0</v>
      </c>
      <c r="F144" s="85">
        <v>122</v>
      </c>
      <c r="G144" s="82">
        <v>122</v>
      </c>
      <c r="H144" s="82">
        <v>109.9</v>
      </c>
      <c r="I144" s="82">
        <v>109.9</v>
      </c>
      <c r="J144" s="82">
        <v>112.3282348632813</v>
      </c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576.12823486328125</v>
      </c>
      <c r="X144" s="135">
        <v>47</v>
      </c>
      <c r="Y144" s="135">
        <v>4</v>
      </c>
      <c r="Z144" s="39">
        <v>88.12823486328125</v>
      </c>
      <c r="AA144" s="39">
        <v>6.87176513671875</v>
      </c>
      <c r="AB144" s="135">
        <v>1</v>
      </c>
      <c r="AC144" s="135">
        <v>2</v>
      </c>
      <c r="AD144" s="135">
        <v>1</v>
      </c>
      <c r="AE144" s="135">
        <v>2</v>
      </c>
      <c r="AF144" s="39">
        <v>12.1</v>
      </c>
    </row>
    <row r="145" spans="1:32" s="12" customFormat="1" ht="18.899999999999999" hidden="1" x14ac:dyDescent="0.35">
      <c r="A145" s="60"/>
      <c r="B145" s="27"/>
      <c r="C145" s="19">
        <f>$C$58*
(SIGN($F144)+SIGN($G144)+SIGN($H144)+SIGN($I144)
+SIGN($J144)+SIGN($K144)+SIGN($L144)+SIGN($M144)
+SIGN($N144)+SIGN($O144)+SIGN($P144)+SIGN($Q144)
+SIGN($R144)+SIGN($S144)+SIGN($T144)+SIGN($U144))</f>
        <v>5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+ROUNDDOWN(($T144-$C$108)/$C$107,0)+ROUNDDOWN(($U144-$C$108)/$C$107,0))</f>
        <v>-3.3330769230768738</v>
      </c>
      <c r="E145" s="129">
        <f>B144</f>
        <v>570.36692307692306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9.3449078194532742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99999999999999" x14ac:dyDescent="0.35">
      <c r="A147" s="60">
        <f>Лист1!R$3</f>
        <v>11.8</v>
      </c>
      <c r="B147" s="13">
        <f>Лист1!R$12</f>
        <v>580.20083554376652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-0.10326845801107806</v>
      </c>
      <c r="D147" s="15">
        <f>C147-E147</f>
        <v>-0.10326845801107806</v>
      </c>
      <c r="E147" s="32">
        <f>IF(D148 &gt; $D$110,D148/$B147*100,0)</f>
        <v>0</v>
      </c>
      <c r="F147" s="78">
        <v>122</v>
      </c>
      <c r="G147" s="79">
        <v>122</v>
      </c>
      <c r="H147" s="79">
        <v>122</v>
      </c>
      <c r="I147" s="79">
        <v>109.9</v>
      </c>
      <c r="J147" s="79">
        <v>110.16146240234377</v>
      </c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586.06146240234375</v>
      </c>
      <c r="X147" s="135">
        <v>48</v>
      </c>
      <c r="Y147" s="135">
        <v>4</v>
      </c>
      <c r="Z147" s="39">
        <v>98.06146240234375</v>
      </c>
      <c r="AA147" s="39"/>
      <c r="AB147" s="135"/>
      <c r="AC147" s="135">
        <v>2</v>
      </c>
      <c r="AD147" s="135">
        <v>1</v>
      </c>
      <c r="AE147" s="135">
        <v>1</v>
      </c>
      <c r="AF147" s="39">
        <v>12.1</v>
      </c>
    </row>
    <row r="148" spans="1:32" s="12" customFormat="1" ht="18.899999999999999" hidden="1" x14ac:dyDescent="0.35">
      <c r="A148" s="60"/>
      <c r="B148" s="13"/>
      <c r="C148" s="19">
        <f>$C$58*
(SIGN($F147)+SIGN($G147)+SIGN($H147)+SIGN($I147)
+SIGN($J147)+SIGN($K147)+SIGN($L147)+SIGN($M147)
+SIGN($N147)+SIGN($O147)+SIGN($P147)+SIGN($Q147)
+SIGN($R147)+SIGN($S147)+SIGN($T147)+SIGN($U147))</f>
        <v>5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+ROUNDDOWN(($T147-$C$108)/$C$107,0)+ROUNDDOWN(($U147-$C$108)/$C$107,0))</f>
        <v>-5.5991644562334386</v>
      </c>
      <c r="E148" s="129">
        <f>B147</f>
        <v>580.20083554376652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9.5074518271696959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99999999999999" x14ac:dyDescent="0.35">
      <c r="A150" s="60">
        <f>Лист1!S$3</f>
        <v>12</v>
      </c>
      <c r="B150" s="13">
        <f>Лист1!S$12</f>
        <v>590.03474801060997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1.5651193496224329</v>
      </c>
      <c r="D150" s="15">
        <f>C150-E150</f>
        <v>0.84740771909760326</v>
      </c>
      <c r="E150" s="32">
        <f>IF(D151 &gt; $D$110,D151/$B150*100,0)</f>
        <v>0.71771163052482967</v>
      </c>
      <c r="F150" s="87">
        <v>122</v>
      </c>
      <c r="G150" s="88">
        <v>122</v>
      </c>
      <c r="H150" s="88">
        <v>122</v>
      </c>
      <c r="I150" s="88">
        <v>122</v>
      </c>
      <c r="J150" s="88">
        <v>107.99468994140625</v>
      </c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595.99468994140625</v>
      </c>
      <c r="X150" s="135">
        <v>49</v>
      </c>
      <c r="Y150" s="135">
        <v>4</v>
      </c>
      <c r="Z150" s="39">
        <v>107.99468994140625</v>
      </c>
      <c r="AA150" s="141"/>
      <c r="AB150" s="135"/>
      <c r="AC150" s="135"/>
      <c r="AD150" s="135"/>
      <c r="AE150" s="135"/>
      <c r="AF150" s="39"/>
    </row>
    <row r="151" spans="1:32" s="12" customFormat="1" ht="16.95" hidden="1" x14ac:dyDescent="0.3">
      <c r="B151" s="29"/>
      <c r="C151" s="19">
        <f>$C$58*
(SIGN($F150)+SIGN($G150)+SIGN($H150)+SIGN($I150)
+SIGN($J150)+SIGN($K150)+SIGN($L150)+SIGN($M150)
+SIGN($N150)+SIGN($O150)+SIGN($P150)+SIGN($Q150)
+SIGN($R150)+SIGN($S150)+SIGN($T150)+SIGN($U150))</f>
        <v>5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+ROUNDDOWN(($T150-$C$108)/$C$107,0)+ROUNDDOWN(($U150-$C$108)/$C$107,0))</f>
        <v>4.2347480106100193</v>
      </c>
      <c r="E151" s="129">
        <f>B150</f>
        <v>590.03474801060997</v>
      </c>
      <c r="F151" s="20">
        <f>C151-F150</f>
        <v>-117</v>
      </c>
      <c r="G151" s="26">
        <f t="shared" ref="G151:M151" si="11">F151-G150</f>
        <v>-239</v>
      </c>
      <c r="H151" s="26">
        <f t="shared" si="11"/>
        <v>-361</v>
      </c>
      <c r="I151" s="26">
        <f t="shared" si="11"/>
        <v>-483</v>
      </c>
      <c r="J151" s="26">
        <f t="shared" si="11"/>
        <v>-590.99468994140625</v>
      </c>
      <c r="K151" s="26">
        <f t="shared" si="11"/>
        <v>-590.99468994140625</v>
      </c>
      <c r="L151" s="26">
        <f t="shared" si="11"/>
        <v>-590.99468994140625</v>
      </c>
      <c r="M151" s="26">
        <f t="shared" si="11"/>
        <v>-590.99468994140625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9.6699958348861159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1.1778341969503521</v>
      </c>
      <c r="D153" s="31">
        <f>AVERAGE(D111,D114,D117,D120,D123,D126,D129,D132,D135,D138,D141,D144,D147,D150,)</f>
        <v>1.0002454549578319</v>
      </c>
      <c r="E153" s="31">
        <f>AVERAGE(E111,E114,E117,E120,E123,E126,E129,E132,E135,E138,E141,E144,E147,E150,)</f>
        <v>0.17758874199252048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/>
  <dimension ref="A1:AI153"/>
  <sheetViews>
    <sheetView workbookViewId="0">
      <selection activeCell="C3" sqref="C3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Лист1!F$13</f>
        <v>317.19325728254228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0.8175638110214769</v>
      </c>
      <c r="D11" s="15">
        <f>C11-E11</f>
        <v>0.8175638110214769</v>
      </c>
      <c r="E11" s="32">
        <f>IF(D12 &gt; $D$10,D12/$B11*100,0)</f>
        <v>0</v>
      </c>
      <c r="F11" s="78">
        <v>122</v>
      </c>
      <c r="G11" s="79">
        <v>109.9</v>
      </c>
      <c r="H11" s="79">
        <v>88.497216796874994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320.397216796875</v>
      </c>
      <c r="X11" s="96">
        <v>26</v>
      </c>
      <c r="Y11" s="96">
        <v>2</v>
      </c>
      <c r="Z11" s="39">
        <v>76.397216796875</v>
      </c>
      <c r="AA11" s="97"/>
      <c r="AC11" s="135">
        <v>5</v>
      </c>
      <c r="AD11" s="135">
        <v>1</v>
      </c>
      <c r="AE11" s="135">
        <v>1</v>
      </c>
      <c r="AF11" s="39">
        <v>12.1</v>
      </c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3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-0.4067427174576892</v>
      </c>
      <c r="E12" s="129">
        <f>B11</f>
        <v>317.19325728254228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8.6554616331278869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Лист1!G$13</f>
        <v>339.84991851700954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0.30893593312925322</v>
      </c>
      <c r="D14" s="15">
        <f>C14-E14</f>
        <v>0.30893593312925322</v>
      </c>
      <c r="E14" s="32">
        <f t="shared" ref="E14:E50" si="2">IF(D15 &gt; $D$10,D15/$B14*100,0)</f>
        <v>0</v>
      </c>
      <c r="F14" s="78">
        <v>122</v>
      </c>
      <c r="G14" s="79">
        <v>122</v>
      </c>
      <c r="H14" s="79">
        <v>99.282745361328125</v>
      </c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343.28274536132813</v>
      </c>
      <c r="X14" s="96">
        <v>28</v>
      </c>
      <c r="Y14" s="96">
        <v>2</v>
      </c>
      <c r="Z14" s="39">
        <v>99.282745361328125</v>
      </c>
      <c r="AA14" s="97"/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+SIGN($R14)+SIGN($S14)+SIGN($T14))</f>
        <v>3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-1.9500814829904698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Лист1!H$13</f>
        <v>362.50657975147686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-0.13611346002641114</v>
      </c>
      <c r="D17" s="15">
        <f>C17-E17</f>
        <v>-0.13611346002641114</v>
      </c>
      <c r="E17" s="32">
        <f t="shared" si="2"/>
        <v>0</v>
      </c>
      <c r="F17" s="78">
        <v>122</v>
      </c>
      <c r="G17" s="79">
        <v>122</v>
      </c>
      <c r="H17" s="79">
        <v>122.16827392578125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366.16827392578125</v>
      </c>
      <c r="X17" s="96">
        <v>30</v>
      </c>
      <c r="Y17" s="96">
        <v>2</v>
      </c>
      <c r="Z17" s="39">
        <v>122.16827392578125</v>
      </c>
      <c r="AA17" s="97"/>
      <c r="AB17" s="135"/>
      <c r="AC17" s="135"/>
      <c r="AD17" s="135"/>
      <c r="AE17" s="135"/>
      <c r="AF17" s="39"/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-3.4934202485231367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Лист1!I$13</f>
        <v>385.16324098594419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2.6127210271115824</v>
      </c>
      <c r="D20" s="15">
        <f>C20-E20</f>
        <v>1.0385207035232038</v>
      </c>
      <c r="E20" s="32">
        <f t="shared" si="2"/>
        <v>1.5742003235883786</v>
      </c>
      <c r="F20" s="78">
        <v>97.8</v>
      </c>
      <c r="G20" s="79">
        <v>97.8</v>
      </c>
      <c r="H20" s="79">
        <v>97.8</v>
      </c>
      <c r="I20" s="79">
        <v>95.653771972656273</v>
      </c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389.05377197265625</v>
      </c>
      <c r="X20" s="96">
        <v>32</v>
      </c>
      <c r="Y20" s="96">
        <v>3</v>
      </c>
      <c r="Z20" s="39">
        <v>23.05377197265625</v>
      </c>
      <c r="AA20" s="97">
        <v>31.94622802734375</v>
      </c>
      <c r="AB20" s="135">
        <v>3</v>
      </c>
      <c r="AC20" s="135">
        <v>5</v>
      </c>
      <c r="AD20" s="135">
        <v>2</v>
      </c>
      <c r="AE20" s="135">
        <v>3</v>
      </c>
      <c r="AF20" s="39">
        <v>36.299999999999997</v>
      </c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+SIGN($R20)+SIGN($S20)+SIGN($T20))</f>
        <v>4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6.0632409859442191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Лист1!J$13</f>
        <v>407.81990222041145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2.0891335057519456</v>
      </c>
      <c r="D23" s="15">
        <f>C23-E23</f>
        <v>0.98082510888302576</v>
      </c>
      <c r="E23" s="32">
        <f t="shared" si="2"/>
        <v>1.1083083968689198</v>
      </c>
      <c r="F23" s="78">
        <v>109.9</v>
      </c>
      <c r="G23" s="79">
        <v>109.9</v>
      </c>
      <c r="H23" s="79">
        <v>97.8</v>
      </c>
      <c r="I23" s="79">
        <v>94.339300537109352</v>
      </c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411.93930053710938</v>
      </c>
      <c r="X23" s="96">
        <v>34</v>
      </c>
      <c r="Y23" s="96">
        <v>3</v>
      </c>
      <c r="Z23" s="39">
        <v>45.939300537109375</v>
      </c>
      <c r="AA23" s="141">
        <v>9.060699462890625</v>
      </c>
      <c r="AB23" s="135">
        <v>1</v>
      </c>
      <c r="AC23" s="135">
        <v>5</v>
      </c>
      <c r="AD23" s="135">
        <v>1</v>
      </c>
      <c r="AE23" s="135">
        <v>3</v>
      </c>
      <c r="AF23" s="39">
        <v>36.299999999999997</v>
      </c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+SIGN($R23)+SIGN($S23)+SIGN($T23))</f>
        <v>4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4.5199022204114385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Лист1!K$13</f>
        <v>430.47656345487877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1.6206604603249286</v>
      </c>
      <c r="D26" s="15">
        <f>C26-E26</f>
        <v>1.6206604603249286</v>
      </c>
      <c r="E26" s="32">
        <f t="shared" si="2"/>
        <v>0</v>
      </c>
      <c r="F26" s="78">
        <v>122</v>
      </c>
      <c r="G26" s="79">
        <v>109.9</v>
      </c>
      <c r="H26" s="79">
        <v>109.9</v>
      </c>
      <c r="I26" s="79">
        <v>93.024798583984364</v>
      </c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434.82479858398438</v>
      </c>
      <c r="X26" s="96">
        <v>35</v>
      </c>
      <c r="Y26" s="96">
        <v>3</v>
      </c>
      <c r="Z26" s="39">
        <v>68.824798583984375</v>
      </c>
      <c r="AA26" s="141"/>
      <c r="AB26" s="135"/>
      <c r="AC26" s="135">
        <v>5</v>
      </c>
      <c r="AD26" s="135">
        <v>1</v>
      </c>
      <c r="AE26" s="135">
        <v>2</v>
      </c>
      <c r="AF26" s="39">
        <v>24.2</v>
      </c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+SIGN($R26)+SIGN($S26)+SIGN($T26))</f>
        <v>4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2.9765634548787716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Лист1!L$13</f>
        <v>453.13322468934609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1.1990347194406132</v>
      </c>
      <c r="D29" s="15">
        <f>C29-E29</f>
        <v>1.1990347194406132</v>
      </c>
      <c r="E29" s="32">
        <f t="shared" si="2"/>
        <v>0</v>
      </c>
      <c r="F29" s="78">
        <v>122</v>
      </c>
      <c r="G29" s="79">
        <v>122</v>
      </c>
      <c r="H29" s="79">
        <v>122</v>
      </c>
      <c r="I29" s="79">
        <v>91.7103271484375</v>
      </c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457.7103271484375</v>
      </c>
      <c r="X29" s="140">
        <v>37</v>
      </c>
      <c r="Y29" s="140">
        <v>3</v>
      </c>
      <c r="Z29" s="39">
        <v>91.7103271484375</v>
      </c>
      <c r="AA29" s="39"/>
      <c r="AB29" s="135"/>
      <c r="AC29" s="135"/>
      <c r="AD29" s="135"/>
      <c r="AE29" s="135"/>
      <c r="AF29" s="39"/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+SIGN($R29)+SIGN($S29)+SIGN($T29))</f>
        <v>4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1.4332246893461047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Лист1!M$13</f>
        <v>475.78988592381336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0.81756381102145903</v>
      </c>
      <c r="D32" s="15">
        <f>C32-E32</f>
        <v>0.81756381102145903</v>
      </c>
      <c r="E32" s="32">
        <f t="shared" si="2"/>
        <v>0</v>
      </c>
      <c r="F32" s="78">
        <v>122</v>
      </c>
      <c r="G32" s="79">
        <v>122</v>
      </c>
      <c r="H32" s="79">
        <v>122</v>
      </c>
      <c r="I32" s="79">
        <v>114.59585571289063</v>
      </c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480.59585571289063</v>
      </c>
      <c r="X32" s="96">
        <v>39</v>
      </c>
      <c r="Y32" s="96">
        <v>3</v>
      </c>
      <c r="Z32" s="39">
        <v>114.59585571289063</v>
      </c>
      <c r="AA32" s="39"/>
      <c r="AB32" s="135"/>
      <c r="AC32" s="135"/>
      <c r="AD32" s="135"/>
      <c r="AE32" s="135"/>
      <c r="AF32" s="39"/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+SIGN($R32)+SIGN($S32)+SIGN($T32))</f>
        <v>4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-0.11011407618661906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Лист1!N$13</f>
        <v>498.44654715828068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0.47077207609496646</v>
      </c>
      <c r="D35" s="15">
        <f>C35-E35</f>
        <v>0.47077207609496646</v>
      </c>
      <c r="E35" s="32">
        <f t="shared" si="2"/>
        <v>0</v>
      </c>
      <c r="F35" s="78">
        <v>109.9</v>
      </c>
      <c r="G35" s="79">
        <v>109.9</v>
      </c>
      <c r="H35" s="79">
        <v>97.8</v>
      </c>
      <c r="I35" s="79">
        <v>97.8</v>
      </c>
      <c r="J35" s="79">
        <v>88.081353759765591</v>
      </c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503.48135375976563</v>
      </c>
      <c r="X35" s="96">
        <v>41</v>
      </c>
      <c r="Y35" s="96">
        <v>4</v>
      </c>
      <c r="Z35" s="39">
        <v>15.481353759765625</v>
      </c>
      <c r="AA35" s="39">
        <v>39.518646240234375</v>
      </c>
      <c r="AB35" s="135">
        <v>4</v>
      </c>
      <c r="AC35" s="135">
        <v>5</v>
      </c>
      <c r="AD35" s="135">
        <v>2</v>
      </c>
      <c r="AE35" s="135">
        <v>4</v>
      </c>
      <c r="AF35" s="39">
        <v>24.2</v>
      </c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+SIGN($R35)+SIGN($S35)+SIGN($T35))</f>
        <v>5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-2.653452841719286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Лист1!O$13</f>
        <v>507.50921165206756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2.2480797175932632</v>
      </c>
      <c r="D38" s="15">
        <f>C38-E38</f>
        <v>0.98520379240482514</v>
      </c>
      <c r="E38" s="32">
        <f t="shared" si="2"/>
        <v>1.2628759251884381</v>
      </c>
      <c r="F38" s="78">
        <v>109.9</v>
      </c>
      <c r="G38" s="79">
        <v>109.9</v>
      </c>
      <c r="H38" s="79">
        <v>109.9</v>
      </c>
      <c r="I38" s="79">
        <v>97.8</v>
      </c>
      <c r="J38" s="79">
        <v>85.135559082031193</v>
      </c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512.63555908203125</v>
      </c>
      <c r="X38" s="135">
        <v>42</v>
      </c>
      <c r="Y38" s="135">
        <v>4</v>
      </c>
      <c r="Z38" s="39">
        <v>24.63555908203125</v>
      </c>
      <c r="AA38" s="39">
        <v>30.36444091796875</v>
      </c>
      <c r="AB38" s="135">
        <v>3</v>
      </c>
      <c r="AC38" s="135">
        <v>5</v>
      </c>
      <c r="AD38" s="135">
        <v>1</v>
      </c>
      <c r="AE38" s="135">
        <v>4</v>
      </c>
      <c r="AF38" s="39">
        <v>24.2</v>
      </c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+SIGN($R38)+SIGN($S38)+SIGN($T38))</f>
        <v>5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6.4092116520675972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Лист1!P$13</f>
        <v>516.5718761458545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1.6206604603249266</v>
      </c>
      <c r="D41" s="15">
        <f>C41-E41</f>
        <v>0.96791951534509146</v>
      </c>
      <c r="E41" s="32">
        <f t="shared" si="2"/>
        <v>0.65274094497983515</v>
      </c>
      <c r="F41" s="78">
        <v>109.9</v>
      </c>
      <c r="G41" s="79">
        <v>109.9</v>
      </c>
      <c r="H41" s="79">
        <v>109.9</v>
      </c>
      <c r="I41" s="79">
        <v>97.8</v>
      </c>
      <c r="J41" s="79">
        <v>94.289794921874943</v>
      </c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521.789794921875</v>
      </c>
      <c r="X41" s="135">
        <v>43</v>
      </c>
      <c r="Y41" s="135">
        <v>4</v>
      </c>
      <c r="Z41" s="39">
        <v>33.789794921875</v>
      </c>
      <c r="AA41" s="39">
        <v>21.210205078125</v>
      </c>
      <c r="AB41" s="135">
        <v>2</v>
      </c>
      <c r="AC41" s="135">
        <v>5</v>
      </c>
      <c r="AD41" s="135">
        <v>1</v>
      </c>
      <c r="AE41" s="135">
        <v>4</v>
      </c>
      <c r="AF41" s="39">
        <v>36.299999999999997</v>
      </c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+SIGN($R41)+SIGN($S41)+SIGN($T41))</f>
        <v>5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3.3718761458545146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Лист1!Q$13</f>
        <v>525.63454063964139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1.0148763498589464</v>
      </c>
      <c r="D44" s="15">
        <f>C44-E44</f>
        <v>1.0148763498589464</v>
      </c>
      <c r="E44" s="32">
        <f t="shared" si="2"/>
        <v>0</v>
      </c>
      <c r="F44" s="85">
        <v>109.9</v>
      </c>
      <c r="G44" s="82">
        <v>109.9</v>
      </c>
      <c r="H44" s="82">
        <v>109.9</v>
      </c>
      <c r="I44" s="82">
        <v>109.9</v>
      </c>
      <c r="J44" s="82">
        <v>91.343969726562477</v>
      </c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530.9439697265625</v>
      </c>
      <c r="X44" s="135">
        <v>43</v>
      </c>
      <c r="Y44" s="135">
        <v>4</v>
      </c>
      <c r="Z44" s="39">
        <v>42.9439697265625</v>
      </c>
      <c r="AA44" s="39">
        <v>12.0560302734375</v>
      </c>
      <c r="AB44" s="135">
        <v>1</v>
      </c>
      <c r="AC44" s="135">
        <v>5</v>
      </c>
      <c r="AD44" s="135">
        <v>1</v>
      </c>
      <c r="AE44" s="135">
        <v>4</v>
      </c>
      <c r="AF44" s="39">
        <v>36.299999999999997</v>
      </c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+SIGN($R44)+SIGN($S44)+SIGN($T44))</f>
        <v>5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0.33454063964143188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Лист1!R$13</f>
        <v>534.69720513342838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0.42962729398504362</v>
      </c>
      <c r="D47" s="15">
        <f>C47-E47</f>
        <v>0.42962729398504362</v>
      </c>
      <c r="E47" s="32">
        <f t="shared" si="2"/>
        <v>0</v>
      </c>
      <c r="F47" s="78">
        <v>122</v>
      </c>
      <c r="G47" s="79">
        <v>109.9</v>
      </c>
      <c r="H47" s="79">
        <v>109.9</v>
      </c>
      <c r="I47" s="79">
        <v>109.9</v>
      </c>
      <c r="J47" s="79">
        <v>88.398205566406205</v>
      </c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540.09820556640625</v>
      </c>
      <c r="X47" s="135">
        <v>44</v>
      </c>
      <c r="Y47" s="135">
        <v>4</v>
      </c>
      <c r="Z47" s="39">
        <v>52.09820556640625</v>
      </c>
      <c r="AA47" s="39">
        <v>2.90179443359375</v>
      </c>
      <c r="AB47" s="135">
        <v>1</v>
      </c>
      <c r="AC47" s="135">
        <v>5</v>
      </c>
      <c r="AD47" s="135">
        <v>1</v>
      </c>
      <c r="AE47" s="135">
        <v>3</v>
      </c>
      <c r="AF47" s="39">
        <v>24.2</v>
      </c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+SIGN($R47)+SIGN($S47)+SIGN($T47))</f>
        <v>5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-2.702794866571594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99999999999999" x14ac:dyDescent="0.35">
      <c r="A50" s="60">
        <f>Лист1!S$3</f>
        <v>12</v>
      </c>
      <c r="B50" s="224">
        <f>Лист1!S$13</f>
        <v>543.75986962721527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2.0891335057519527</v>
      </c>
      <c r="D50" s="15">
        <f>C50-E50</f>
        <v>0.91952353957783672</v>
      </c>
      <c r="E50" s="32">
        <f t="shared" si="2"/>
        <v>1.1696099661741159</v>
      </c>
      <c r="F50" s="87">
        <v>122</v>
      </c>
      <c r="G50" s="88">
        <v>122</v>
      </c>
      <c r="H50" s="88">
        <v>109.9</v>
      </c>
      <c r="I50" s="88">
        <v>109.9</v>
      </c>
      <c r="J50" s="88">
        <v>85.452380371093795</v>
      </c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549.25238037109375</v>
      </c>
      <c r="X50" s="135">
        <v>45</v>
      </c>
      <c r="Y50" s="135">
        <v>4</v>
      </c>
      <c r="Z50" s="39">
        <v>61.25238037109375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5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6.3598696272152893</v>
      </c>
      <c r="E51" s="129">
        <f>B50</f>
        <v>543.75986962721527</v>
      </c>
      <c r="F51" s="20">
        <f>C51-F50</f>
        <v>-117</v>
      </c>
      <c r="G51" s="26">
        <f t="shared" ref="G51:M51" si="3">F51-G50</f>
        <v>-239</v>
      </c>
      <c r="H51" s="26">
        <f t="shared" si="3"/>
        <v>-348.9</v>
      </c>
      <c r="I51" s="26">
        <f t="shared" si="3"/>
        <v>-458.79999999999995</v>
      </c>
      <c r="J51" s="26">
        <f t="shared" si="3"/>
        <v>-544.25238037109375</v>
      </c>
      <c r="K51" s="26">
        <f t="shared" si="3"/>
        <v>-544.25238037109375</v>
      </c>
      <c r="L51" s="26">
        <f t="shared" si="3"/>
        <v>-544.25238037109375</v>
      </c>
      <c r="M51" s="26">
        <f t="shared" si="3"/>
        <v>-544.25238037109375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8.9051218120200879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1.1468432807589299</v>
      </c>
      <c r="D53" s="31">
        <f>AVERAGE(D11,D14,D17,D20,D23,D26,D29,D32,D35,D38,D41,D44,D47,D50,)</f>
        <v>0.76232757697228393</v>
      </c>
      <c r="E53" s="31">
        <f>AVERAGE(E11,E14,E17,E20,E23,E26,E29,E32,E35,E38,E41,E44,E47,E50,)</f>
        <v>0.3845157037866459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9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9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95" x14ac:dyDescent="0.3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99999999999999" x14ac:dyDescent="0.35">
      <c r="A61" s="60">
        <f>Лист1!F$3</f>
        <v>7</v>
      </c>
      <c r="B61" s="13">
        <f>Лист1!F$13</f>
        <v>317.19325728254228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0.8175638110214769</v>
      </c>
      <c r="D61" s="15">
        <f>C61-E61</f>
        <v>0.8175638110214769</v>
      </c>
      <c r="E61" s="32">
        <f>IF(D62 &gt; $D$60,D62/$B61*100,0)</f>
        <v>0</v>
      </c>
      <c r="F61" s="78">
        <v>109.9</v>
      </c>
      <c r="G61" s="79">
        <v>109.9</v>
      </c>
      <c r="H61" s="79">
        <v>100.59721679687499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320.397216796875</v>
      </c>
      <c r="X61" s="96">
        <v>26</v>
      </c>
      <c r="Y61" s="96">
        <v>2</v>
      </c>
      <c r="Z61" s="39">
        <v>76.397216796875</v>
      </c>
      <c r="AA61" s="97"/>
      <c r="AC61" s="135">
        <v>3</v>
      </c>
      <c r="AD61" s="135">
        <v>1</v>
      </c>
      <c r="AE61" s="135">
        <v>2</v>
      </c>
      <c r="AF61" s="39">
        <v>24.2</v>
      </c>
    </row>
    <row r="62" spans="1:35" ht="16.95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-0.4067427174576892</v>
      </c>
      <c r="E62" s="129">
        <f>B61</f>
        <v>317.19325728254228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95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8.6554616331278869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99999999999999" x14ac:dyDescent="0.35">
      <c r="A64" s="60">
        <f>Лист1!G$3</f>
        <v>7.5</v>
      </c>
      <c r="B64" s="13">
        <f>Лист1!G$13</f>
        <v>339.84991851700954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0.30893593312925322</v>
      </c>
      <c r="D64" s="15">
        <f>C64-E64</f>
        <v>0.30893593312925322</v>
      </c>
      <c r="E64" s="32">
        <f t="shared" ref="E64:E100" si="7">IF(D65 &gt; $D$60,D65/$B64*100,0)</f>
        <v>0</v>
      </c>
      <c r="F64" s="78">
        <v>122</v>
      </c>
      <c r="G64" s="79">
        <v>122</v>
      </c>
      <c r="H64" s="79">
        <v>99.282745361328125</v>
      </c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343.28274536132813</v>
      </c>
      <c r="X64" s="96">
        <v>28</v>
      </c>
      <c r="Y64" s="96">
        <v>2</v>
      </c>
      <c r="Z64" s="39">
        <v>99.282745361328125</v>
      </c>
      <c r="AA64" s="97"/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3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-1.9500814829904698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99999999999999" x14ac:dyDescent="0.35">
      <c r="A67" s="60">
        <f>Лист1!H$3</f>
        <v>8</v>
      </c>
      <c r="B67" s="13">
        <f>Лист1!H$13</f>
        <v>362.50657975147686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-0.13611346002641114</v>
      </c>
      <c r="D67" s="15">
        <f>C67-E67</f>
        <v>-0.13611346002641114</v>
      </c>
      <c r="E67" s="32">
        <f t="shared" si="7"/>
        <v>0</v>
      </c>
      <c r="F67" s="78">
        <v>122</v>
      </c>
      <c r="G67" s="79">
        <v>122</v>
      </c>
      <c r="H67" s="79">
        <v>122.16827392578125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366.16827392578125</v>
      </c>
      <c r="X67" s="96">
        <v>30</v>
      </c>
      <c r="Y67" s="96">
        <v>2</v>
      </c>
      <c r="Z67" s="39">
        <v>122.16827392578125</v>
      </c>
      <c r="AA67" s="97"/>
      <c r="AB67" s="135"/>
      <c r="AC67" s="135"/>
      <c r="AD67" s="135"/>
      <c r="AE67" s="135"/>
      <c r="AF67" s="39"/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-3.4934202485231367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99999999999999" x14ac:dyDescent="0.35">
      <c r="A70" s="60">
        <f>Лист1!I$3</f>
        <v>8.5</v>
      </c>
      <c r="B70" s="13">
        <f>Лист1!I$13</f>
        <v>385.16324098594419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2.6127210271115824</v>
      </c>
      <c r="D70" s="15">
        <f>C70-E70</f>
        <v>1.0385207035232038</v>
      </c>
      <c r="E70" s="32">
        <f t="shared" si="7"/>
        <v>1.5742003235883786</v>
      </c>
      <c r="F70" s="78">
        <v>97.8</v>
      </c>
      <c r="G70" s="79">
        <v>97.8</v>
      </c>
      <c r="H70" s="79">
        <v>97.8</v>
      </c>
      <c r="I70" s="79">
        <v>95.653771972656273</v>
      </c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389.05377197265625</v>
      </c>
      <c r="X70" s="96">
        <v>32</v>
      </c>
      <c r="Y70" s="96">
        <v>3</v>
      </c>
      <c r="Z70" s="39">
        <v>23.05377197265625</v>
      </c>
      <c r="AA70" s="97">
        <v>51.94622802734375</v>
      </c>
      <c r="AB70" s="135">
        <v>5</v>
      </c>
      <c r="AC70" s="135">
        <v>3</v>
      </c>
      <c r="AD70" s="135">
        <v>2</v>
      </c>
      <c r="AE70" s="135">
        <v>3</v>
      </c>
      <c r="AF70" s="39">
        <v>12.1</v>
      </c>
    </row>
    <row r="71" spans="1:32" s="12" customFormat="1" ht="16.95" hidden="1" x14ac:dyDescent="0.3">
      <c r="A71" s="58"/>
      <c r="B71" s="197"/>
      <c r="C71" s="19">
        <f>$C$58*
(SIGN($F70)+SIGN($G70)+SIGN($H70)+SIGN($I70)
+SIGN($J70)+SIGN($K70)+SIGN($L70)+SIGN($M70)
+SIGN($N70)+SIGN($O70)+SIGN($P70)+SIGN($Q70)
+SIGN($R70)+SIGN($S70)+SIGN($T70))</f>
        <v>4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6.0632409859442191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197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99999999999999" x14ac:dyDescent="0.35">
      <c r="A73" s="60">
        <f>Лист1!J$3</f>
        <v>9</v>
      </c>
      <c r="B73" s="13">
        <f>Лист1!J$13</f>
        <v>407.81990222041145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2.0891335057519456</v>
      </c>
      <c r="D73" s="15">
        <f>C73-E73</f>
        <v>0.98082510888302576</v>
      </c>
      <c r="E73" s="32">
        <f t="shared" si="7"/>
        <v>1.1083083968689198</v>
      </c>
      <c r="F73" s="78">
        <v>109.9</v>
      </c>
      <c r="G73" s="79">
        <v>109.9</v>
      </c>
      <c r="H73" s="79">
        <v>97.8</v>
      </c>
      <c r="I73" s="79">
        <v>94.339300537109352</v>
      </c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411.93930053710938</v>
      </c>
      <c r="X73" s="135">
        <v>34</v>
      </c>
      <c r="Y73" s="135">
        <v>3</v>
      </c>
      <c r="Z73" s="39">
        <v>45.939300537109375</v>
      </c>
      <c r="AA73" s="141">
        <v>29.060699462890625</v>
      </c>
      <c r="AB73" s="135">
        <v>3</v>
      </c>
      <c r="AC73" s="135">
        <v>3</v>
      </c>
      <c r="AD73" s="135">
        <v>2</v>
      </c>
      <c r="AE73" s="135">
        <v>3</v>
      </c>
      <c r="AF73" s="39">
        <v>12.1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4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4.5199022204114385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99999999999999" x14ac:dyDescent="0.35">
      <c r="A76" s="60">
        <f>Лист1!K$3</f>
        <v>9.5</v>
      </c>
      <c r="B76" s="13">
        <f>Лист1!K$13</f>
        <v>430.47656345487877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1.6206604603249286</v>
      </c>
      <c r="D76" s="15">
        <f>C76-E76</f>
        <v>1.6206604603249286</v>
      </c>
      <c r="E76" s="32">
        <f t="shared" si="7"/>
        <v>0</v>
      </c>
      <c r="F76" s="78">
        <v>109.9</v>
      </c>
      <c r="G76" s="79">
        <v>109.9</v>
      </c>
      <c r="H76" s="79">
        <v>109.9</v>
      </c>
      <c r="I76" s="79">
        <v>105.12479858398433</v>
      </c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434.82479858398438</v>
      </c>
      <c r="X76" s="135">
        <v>35</v>
      </c>
      <c r="Y76" s="135">
        <v>3</v>
      </c>
      <c r="Z76" s="39">
        <v>68.824798583984375</v>
      </c>
      <c r="AA76" s="39">
        <v>6.175201416015625</v>
      </c>
      <c r="AB76" s="135">
        <v>1</v>
      </c>
      <c r="AC76" s="135">
        <v>3</v>
      </c>
      <c r="AD76" s="135">
        <v>1</v>
      </c>
      <c r="AE76" s="135">
        <v>3</v>
      </c>
      <c r="AF76" s="39">
        <v>24.2</v>
      </c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4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2.9765634548787716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99999999999999" x14ac:dyDescent="0.35">
      <c r="A79" s="60">
        <f>Лист1!L$3</f>
        <v>10</v>
      </c>
      <c r="B79" s="13">
        <f>Лист1!L$13</f>
        <v>453.13322468934609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1.1990347194406132</v>
      </c>
      <c r="D79" s="15">
        <f>C79-E79</f>
        <v>1.1990347194406132</v>
      </c>
      <c r="E79" s="32">
        <f t="shared" si="7"/>
        <v>0</v>
      </c>
      <c r="F79" s="78">
        <v>122</v>
      </c>
      <c r="G79" s="79">
        <v>122</v>
      </c>
      <c r="H79" s="79">
        <v>109.9</v>
      </c>
      <c r="I79" s="79">
        <v>103.81032714843752</v>
      </c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457.7103271484375</v>
      </c>
      <c r="X79" s="135">
        <v>37</v>
      </c>
      <c r="Y79" s="135">
        <v>3</v>
      </c>
      <c r="Z79" s="39">
        <v>91.7103271484375</v>
      </c>
      <c r="AA79" s="39"/>
      <c r="AB79" s="135"/>
      <c r="AC79" s="135">
        <v>3</v>
      </c>
      <c r="AD79" s="135">
        <v>1</v>
      </c>
      <c r="AE79" s="135">
        <v>1</v>
      </c>
      <c r="AF79" s="39">
        <v>12.1</v>
      </c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4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1.4332246893461047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99999999999999" x14ac:dyDescent="0.35">
      <c r="A82" s="60">
        <f>Лист1!M$3</f>
        <v>10.5</v>
      </c>
      <c r="B82" s="13">
        <f>Лист1!M$13</f>
        <v>475.78988592381336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0.81756381102145903</v>
      </c>
      <c r="D82" s="15">
        <f>C82-E82</f>
        <v>0.81756381102145903</v>
      </c>
      <c r="E82" s="32">
        <f t="shared" si="7"/>
        <v>0</v>
      </c>
      <c r="F82" s="78">
        <v>122</v>
      </c>
      <c r="G82" s="79">
        <v>122</v>
      </c>
      <c r="H82" s="79">
        <v>122</v>
      </c>
      <c r="I82" s="79">
        <v>114.59585571289063</v>
      </c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480.59585571289063</v>
      </c>
      <c r="X82" s="135">
        <v>39</v>
      </c>
      <c r="Y82" s="135">
        <v>3</v>
      </c>
      <c r="Z82" s="39">
        <v>114.59585571289063</v>
      </c>
      <c r="AA82" s="39"/>
      <c r="AB82" s="135"/>
      <c r="AC82" s="135"/>
      <c r="AD82" s="135"/>
      <c r="AE82" s="135"/>
      <c r="AF82" s="39"/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4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-0.11011407618661906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99999999999999" x14ac:dyDescent="0.35">
      <c r="A85" s="60">
        <f>Лист1!N$3</f>
        <v>11</v>
      </c>
      <c r="B85" s="13">
        <f>Лист1!N$13</f>
        <v>498.44654715828068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0.47077207609496646</v>
      </c>
      <c r="D85" s="15">
        <f>C85-E85</f>
        <v>0.47077207609496646</v>
      </c>
      <c r="E85" s="32">
        <f t="shared" si="7"/>
        <v>0</v>
      </c>
      <c r="F85" s="78">
        <v>109.9</v>
      </c>
      <c r="G85" s="79">
        <v>97.8</v>
      </c>
      <c r="H85" s="79">
        <v>97.8</v>
      </c>
      <c r="I85" s="79">
        <v>97.8</v>
      </c>
      <c r="J85" s="79">
        <v>100.18135375976561</v>
      </c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503.48135375976563</v>
      </c>
      <c r="X85" s="135">
        <v>41</v>
      </c>
      <c r="Y85" s="135">
        <v>4</v>
      </c>
      <c r="Z85" s="39">
        <v>15.481353759765625</v>
      </c>
      <c r="AA85" s="39">
        <v>59.518646240234375</v>
      </c>
      <c r="AB85" s="135">
        <v>5</v>
      </c>
      <c r="AC85" s="135">
        <v>3</v>
      </c>
      <c r="AD85" s="135">
        <v>3</v>
      </c>
      <c r="AE85" s="135">
        <v>4</v>
      </c>
      <c r="AF85" s="39">
        <v>24.2</v>
      </c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5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-2.653452841719286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99999999999999" x14ac:dyDescent="0.35">
      <c r="A88" s="60">
        <f>Лист1!O$3</f>
        <v>11.2</v>
      </c>
      <c r="B88" s="13">
        <f>Лист1!O$13</f>
        <v>507.50921165206756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2.2480797175932632</v>
      </c>
      <c r="D88" s="15">
        <f>C88-E88</f>
        <v>0.98520379240482514</v>
      </c>
      <c r="E88" s="32">
        <f t="shared" si="7"/>
        <v>1.2628759251884381</v>
      </c>
      <c r="F88" s="78">
        <v>109.9</v>
      </c>
      <c r="G88" s="79">
        <v>109.9</v>
      </c>
      <c r="H88" s="79">
        <v>97.8</v>
      </c>
      <c r="I88" s="79">
        <v>97.8</v>
      </c>
      <c r="J88" s="79">
        <v>97.235559082031216</v>
      </c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512.63555908203125</v>
      </c>
      <c r="X88" s="135">
        <v>42</v>
      </c>
      <c r="Y88" s="135">
        <v>4</v>
      </c>
      <c r="Z88" s="39">
        <v>24.63555908203125</v>
      </c>
      <c r="AA88" s="39">
        <v>50.36444091796875</v>
      </c>
      <c r="AB88" s="135">
        <v>5</v>
      </c>
      <c r="AC88" s="135">
        <v>3</v>
      </c>
      <c r="AD88" s="135">
        <v>2</v>
      </c>
      <c r="AE88" s="135">
        <v>4</v>
      </c>
      <c r="AF88" s="39">
        <v>12.1</v>
      </c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5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6.4092116520675972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99999999999999" x14ac:dyDescent="0.35">
      <c r="A91" s="60">
        <f>Лист1!P$3</f>
        <v>11.4</v>
      </c>
      <c r="B91" s="13">
        <f>Лист1!P$13</f>
        <v>516.5718761458545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1.6206604603249266</v>
      </c>
      <c r="D91" s="15">
        <f>C91-E91</f>
        <v>0.96791951534509146</v>
      </c>
      <c r="E91" s="32">
        <f t="shared" si="7"/>
        <v>0.65274094497983515</v>
      </c>
      <c r="F91" s="78">
        <v>109.9</v>
      </c>
      <c r="G91" s="79">
        <v>109.9</v>
      </c>
      <c r="H91" s="79">
        <v>109.9</v>
      </c>
      <c r="I91" s="79">
        <v>97.8</v>
      </c>
      <c r="J91" s="79">
        <v>94.289794921874943</v>
      </c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521.789794921875</v>
      </c>
      <c r="X91" s="135">
        <v>43</v>
      </c>
      <c r="Y91" s="135">
        <v>4</v>
      </c>
      <c r="Z91" s="39">
        <v>33.789794921875</v>
      </c>
      <c r="AA91" s="39">
        <v>41.210205078125</v>
      </c>
      <c r="AB91" s="135">
        <v>4</v>
      </c>
      <c r="AC91" s="135">
        <v>3</v>
      </c>
      <c r="AD91" s="135">
        <v>2</v>
      </c>
      <c r="AE91" s="135">
        <v>4</v>
      </c>
      <c r="AF91" s="39">
        <v>12.1</v>
      </c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5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3.3718761458545146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99999999999999" x14ac:dyDescent="0.35">
      <c r="A94" s="60">
        <f>Лист1!Q$3</f>
        <v>11.6</v>
      </c>
      <c r="B94" s="27">
        <f>Лист1!Q$13</f>
        <v>525.63454063964139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1.0148763498589464</v>
      </c>
      <c r="D94" s="15">
        <f>C94-E94</f>
        <v>1.0148763498589464</v>
      </c>
      <c r="E94" s="32">
        <f t="shared" si="7"/>
        <v>0</v>
      </c>
      <c r="F94" s="85">
        <v>109.9</v>
      </c>
      <c r="G94" s="82">
        <v>109.9</v>
      </c>
      <c r="H94" s="82">
        <v>109.9</v>
      </c>
      <c r="I94" s="82">
        <v>97.8</v>
      </c>
      <c r="J94" s="82">
        <v>103.44396972656244</v>
      </c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530.9439697265625</v>
      </c>
      <c r="X94" s="135">
        <v>43</v>
      </c>
      <c r="Y94" s="135">
        <v>4</v>
      </c>
      <c r="Z94" s="39">
        <v>42.9439697265625</v>
      </c>
      <c r="AA94" s="39">
        <v>32.0560302734375</v>
      </c>
      <c r="AB94" s="135">
        <v>3</v>
      </c>
      <c r="AC94" s="135">
        <v>3</v>
      </c>
      <c r="AD94" s="135">
        <v>2</v>
      </c>
      <c r="AE94" s="135">
        <v>4</v>
      </c>
      <c r="AF94" s="39">
        <v>24.2</v>
      </c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5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0.33454063964143188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99999999999999" x14ac:dyDescent="0.35">
      <c r="A97" s="60">
        <f>Лист1!R$3</f>
        <v>11.8</v>
      </c>
      <c r="B97" s="13">
        <f>Лист1!R$13</f>
        <v>534.69720513342838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0.42962729398504362</v>
      </c>
      <c r="D97" s="15">
        <f>C97-E97</f>
        <v>0.42962729398504362</v>
      </c>
      <c r="E97" s="32">
        <f t="shared" si="7"/>
        <v>0</v>
      </c>
      <c r="F97" s="78">
        <v>109.9</v>
      </c>
      <c r="G97" s="79">
        <v>109.9</v>
      </c>
      <c r="H97" s="79">
        <v>109.9</v>
      </c>
      <c r="I97" s="79">
        <v>109.9</v>
      </c>
      <c r="J97" s="79">
        <v>100.49820556640623</v>
      </c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540.09820556640625</v>
      </c>
      <c r="X97" s="135">
        <v>44</v>
      </c>
      <c r="Y97" s="135">
        <v>4</v>
      </c>
      <c r="Z97" s="39">
        <v>52.09820556640625</v>
      </c>
      <c r="AA97" s="39">
        <v>22.90179443359375</v>
      </c>
      <c r="AB97" s="135">
        <v>2</v>
      </c>
      <c r="AC97" s="135">
        <v>3</v>
      </c>
      <c r="AD97" s="135">
        <v>2</v>
      </c>
      <c r="AE97" s="135">
        <v>4</v>
      </c>
      <c r="AF97" s="39">
        <v>24.2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5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-2.702794866571594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99999999999999" x14ac:dyDescent="0.35">
      <c r="A100" s="60">
        <f>Лист1!S$3</f>
        <v>12</v>
      </c>
      <c r="B100" s="13">
        <f>Лист1!S$13</f>
        <v>543.75986962721527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2.0891335057519527</v>
      </c>
      <c r="D100" s="15">
        <f>C100-E100</f>
        <v>0.91952353957783672</v>
      </c>
      <c r="E100" s="32">
        <f t="shared" si="7"/>
        <v>1.1696099661741159</v>
      </c>
      <c r="F100" s="88">
        <v>122</v>
      </c>
      <c r="G100" s="88">
        <v>109.9</v>
      </c>
      <c r="H100" s="88">
        <v>109.9</v>
      </c>
      <c r="I100" s="88">
        <v>109.9</v>
      </c>
      <c r="J100" s="88">
        <v>97.552380371093705</v>
      </c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549.25238037109375</v>
      </c>
      <c r="X100" s="135">
        <v>45</v>
      </c>
      <c r="Y100" s="135">
        <v>4</v>
      </c>
      <c r="Z100" s="39">
        <v>61.25238037109375</v>
      </c>
      <c r="AA100" s="141">
        <v>13.74761962890625</v>
      </c>
      <c r="AB100" s="135">
        <v>2</v>
      </c>
      <c r="AC100" s="135">
        <v>3</v>
      </c>
      <c r="AD100" s="135">
        <v>1</v>
      </c>
      <c r="AE100" s="135">
        <v>3</v>
      </c>
      <c r="AF100" s="39">
        <v>12.1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5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6.3598696272152893</v>
      </c>
      <c r="E101" s="129">
        <f>B100</f>
        <v>543.75986962721527</v>
      </c>
      <c r="F101" s="20">
        <f>C101-F100</f>
        <v>-117</v>
      </c>
      <c r="G101" s="26">
        <f t="shared" ref="G101:M101" si="8">F101-G100</f>
        <v>-226.9</v>
      </c>
      <c r="H101" s="26">
        <f t="shared" si="8"/>
        <v>-336.8</v>
      </c>
      <c r="I101" s="26">
        <f t="shared" si="8"/>
        <v>-446.70000000000005</v>
      </c>
      <c r="J101" s="26">
        <f t="shared" si="8"/>
        <v>-544.25238037109375</v>
      </c>
      <c r="K101" s="26">
        <f t="shared" si="8"/>
        <v>-544.25238037109375</v>
      </c>
      <c r="L101" s="26">
        <f t="shared" si="8"/>
        <v>-544.25238037109375</v>
      </c>
      <c r="M101" s="26">
        <f t="shared" si="8"/>
        <v>-544.25238037109375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8.9051218120200879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1.1468432807589299</v>
      </c>
      <c r="D103" s="31">
        <f>AVERAGE(D61,D64,D67,D70,D73,D76,D79,D82,D85,D88,D91,D94,D97,D100,)</f>
        <v>0.76232757697228393</v>
      </c>
      <c r="E103" s="31">
        <f>AVERAGE(E61,E64,E67,E70,E73,E76,E79,E82,E85,E88,E91,E94,E97,E100,)</f>
        <v>0.3845157037866459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95" x14ac:dyDescent="0.3">
      <c r="B104" s="30"/>
      <c r="C104" s="31"/>
      <c r="D104" s="31"/>
      <c r="E104" s="31"/>
      <c r="V104" s="38"/>
      <c r="W104" s="40"/>
    </row>
    <row r="105" spans="1:35" ht="16.95" x14ac:dyDescent="0.3">
      <c r="B105" s="30"/>
      <c r="C105" s="31"/>
      <c r="D105" s="31"/>
      <c r="E105" s="31"/>
      <c r="V105" s="38"/>
      <c r="W105" s="40"/>
    </row>
    <row r="106" spans="1:35" ht="16.95" x14ac:dyDescent="0.3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99999999999999" x14ac:dyDescent="0.35">
      <c r="A111" s="60">
        <f>Лист1!F$3</f>
        <v>7</v>
      </c>
      <c r="B111" s="13">
        <f>Лист1!F$13</f>
        <v>317.19325728254228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0.8175638110214769</v>
      </c>
      <c r="D111" s="15">
        <f>C111-E111</f>
        <v>0.8175638110214769</v>
      </c>
      <c r="E111" s="32">
        <f>IF(D112 &gt; $D$110,D112/$B111*100,0)</f>
        <v>0</v>
      </c>
      <c r="F111" s="120">
        <v>109.9</v>
      </c>
      <c r="G111" s="121">
        <v>97.8</v>
      </c>
      <c r="H111" s="121">
        <v>112.69721679687501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320.397216796875</v>
      </c>
      <c r="X111" s="96">
        <v>26</v>
      </c>
      <c r="Y111" s="96">
        <v>2</v>
      </c>
      <c r="Z111" s="39">
        <v>76.397216796875</v>
      </c>
      <c r="AA111" s="97">
        <v>18.602783203125</v>
      </c>
      <c r="AB111" s="135">
        <v>2</v>
      </c>
      <c r="AC111" s="135">
        <v>2</v>
      </c>
      <c r="AD111" s="135">
        <v>2</v>
      </c>
      <c r="AE111" s="135">
        <v>2</v>
      </c>
      <c r="AF111" s="39">
        <v>12.1</v>
      </c>
    </row>
    <row r="112" spans="1:35" ht="16.95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-0.4067427174576892</v>
      </c>
      <c r="E112" s="129">
        <f>B111</f>
        <v>317.19325728254228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95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8.6554616331278869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99999999999999" x14ac:dyDescent="0.35">
      <c r="A114" s="60">
        <f>Лист1!G$3</f>
        <v>7.5</v>
      </c>
      <c r="B114" s="13">
        <f>Лист1!G$13</f>
        <v>339.84991851700954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0.30893593312925322</v>
      </c>
      <c r="D114" s="15">
        <f>C114-E114</f>
        <v>0.30893593312925322</v>
      </c>
      <c r="E114" s="32">
        <f>IF(D115 &gt; $D$110,D115/$B114*100,0)</f>
        <v>0</v>
      </c>
      <c r="F114" s="120">
        <v>122</v>
      </c>
      <c r="G114" s="121">
        <v>109.9</v>
      </c>
      <c r="H114" s="121">
        <v>111.38274536132812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343.28274536132813</v>
      </c>
      <c r="X114" s="96">
        <v>28</v>
      </c>
      <c r="Y114" s="96">
        <v>2</v>
      </c>
      <c r="Z114" s="39">
        <v>99.282745361328125</v>
      </c>
      <c r="AA114" s="97"/>
      <c r="AB114" s="135"/>
      <c r="AC114" s="135">
        <v>2</v>
      </c>
      <c r="AD114" s="135">
        <v>1</v>
      </c>
      <c r="AE114" s="135">
        <v>1</v>
      </c>
      <c r="AF114" s="39">
        <v>12.1</v>
      </c>
    </row>
    <row r="115" spans="1:32" s="12" customFormat="1" ht="16.95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-1.9500814829904698</v>
      </c>
      <c r="E115" s="129">
        <f>B114</f>
        <v>339.84991851700954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9.2796120803583886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99999999999999" x14ac:dyDescent="0.35">
      <c r="A117" s="60">
        <f>Лист1!H$3</f>
        <v>8</v>
      </c>
      <c r="B117" s="13">
        <f>Лист1!H$13</f>
        <v>362.50657975147686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-0.13611346002641114</v>
      </c>
      <c r="D117" s="15">
        <f>C117-E117</f>
        <v>-0.13611346002641114</v>
      </c>
      <c r="E117" s="32">
        <f>IF(D118 &gt; $D$110,D118/$B117*100,0)</f>
        <v>0</v>
      </c>
      <c r="F117" s="120">
        <v>122</v>
      </c>
      <c r="G117" s="121">
        <v>122</v>
      </c>
      <c r="H117" s="121">
        <v>122.16827392578125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366.16827392578125</v>
      </c>
      <c r="X117" s="96">
        <v>30</v>
      </c>
      <c r="Y117" s="96">
        <v>2</v>
      </c>
      <c r="Z117" s="39">
        <v>122.16827392578125</v>
      </c>
      <c r="AA117" s="97"/>
      <c r="AB117" s="135"/>
      <c r="AC117" s="135"/>
      <c r="AD117" s="135"/>
      <c r="AE117" s="135"/>
      <c r="AF117" s="39"/>
    </row>
    <row r="118" spans="1:32" s="12" customFormat="1" ht="16.95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-3.4934202485231367</v>
      </c>
      <c r="E118" s="129">
        <f>B117</f>
        <v>362.50657975147686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9.9037625275888956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99999999999999" x14ac:dyDescent="0.35">
      <c r="A120" s="60">
        <f>Лист1!I$3</f>
        <v>8.5</v>
      </c>
      <c r="B120" s="13">
        <f>Лист1!I$13</f>
        <v>385.16324098594419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12.037296411584645</v>
      </c>
      <c r="D120" s="15">
        <f>C120-E120</f>
        <v>1.038520703523206</v>
      </c>
      <c r="E120" s="32">
        <f>IF(D121 &gt; $D$110,D121/$B120*100,0)</f>
        <v>10.998775708061439</v>
      </c>
      <c r="F120" s="120">
        <v>97.263442993164063</v>
      </c>
      <c r="G120" s="121">
        <v>97.263442993164063</v>
      </c>
      <c r="H120" s="121">
        <v>97.263442993164063</v>
      </c>
      <c r="I120" s="121">
        <v>97.263442993164063</v>
      </c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 t="s">
        <v>70</v>
      </c>
      <c r="W120" s="17">
        <f>SUM(F120:T120)</f>
        <v>389.05377197265625</v>
      </c>
      <c r="X120" s="96">
        <v>32</v>
      </c>
      <c r="Y120" s="96">
        <v>3</v>
      </c>
      <c r="Z120" s="39">
        <v>23.05377197265625</v>
      </c>
      <c r="AA120" s="97">
        <v>71.94622802734375</v>
      </c>
      <c r="AB120" s="135">
        <v>6</v>
      </c>
      <c r="AC120" s="135">
        <v>2</v>
      </c>
      <c r="AD120" s="135">
        <v>4</v>
      </c>
      <c r="AE120" s="135">
        <v>3</v>
      </c>
      <c r="AF120" s="39">
        <v>12.1</v>
      </c>
    </row>
    <row r="121" spans="1:32" s="12" customFormat="1" ht="16.95" hidden="1" x14ac:dyDescent="0.3">
      <c r="A121" s="58"/>
      <c r="B121" s="196"/>
      <c r="C121" s="19">
        <f>$C$108*
(SIGN($F120)+SIGN($G120)+SIGN($H120)+SIGN($I120)
+SIGN($J120)+SIGN($K120)+SIGN($L120)+SIGN($M120)
+SIGN($N120)+SIGN($O120)+SIGN($P120)+SIGN($Q120)
+SIGN($R120)+SIGN($S120)+SIGN($T120))</f>
        <v>4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42.363240985944174</v>
      </c>
      <c r="E121" s="129">
        <f>B120</f>
        <v>385.16324098594419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196"/>
      <c r="C122" s="22"/>
      <c r="D122" s="22"/>
      <c r="E122" s="22">
        <f>IF(B120&gt;0,(B120/ROUNDUP(ROUNDUP(((B120-($C$108*ROUNDUP(B120/$H$108,0)))/$C$107),0)/$H$107,0)-$C$108)/$C$107,0-$C$108/$C$107)</f>
        <v>7.8752735740897561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99999999999999" x14ac:dyDescent="0.35">
      <c r="A123" s="60">
        <f>Лист1!J$3</f>
        <v>9</v>
      </c>
      <c r="B123" s="13">
        <f>Лист1!J$13</f>
        <v>407.81990222041145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2.0891335057519456</v>
      </c>
      <c r="D123" s="15">
        <f>C123-E123</f>
        <v>0.98082510888302576</v>
      </c>
      <c r="E123" s="32">
        <f>IF(D124 &gt; $D$110,D124/$B123*100,0)</f>
        <v>1.1083083968689198</v>
      </c>
      <c r="F123" s="78">
        <v>109.9</v>
      </c>
      <c r="G123" s="79">
        <v>97.8</v>
      </c>
      <c r="H123" s="79">
        <v>97.8</v>
      </c>
      <c r="I123" s="79">
        <v>106.43930053710938</v>
      </c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411.93930053710938</v>
      </c>
      <c r="X123" s="135">
        <v>34</v>
      </c>
      <c r="Y123" s="135">
        <v>3</v>
      </c>
      <c r="Z123" s="39">
        <v>45.939300537109375</v>
      </c>
      <c r="AA123" s="39">
        <v>49.060699462890625</v>
      </c>
      <c r="AB123" s="135">
        <v>5</v>
      </c>
      <c r="AC123" s="135">
        <v>2</v>
      </c>
      <c r="AD123" s="135">
        <v>3</v>
      </c>
      <c r="AE123" s="135">
        <v>3</v>
      </c>
      <c r="AF123" s="39"/>
    </row>
    <row r="124" spans="1:32" s="12" customFormat="1" ht="16.95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4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4.5199022204114385</v>
      </c>
      <c r="E124" s="129">
        <f>B123</f>
        <v>407.81990222041145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8.3433864095126342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99999999999999" x14ac:dyDescent="0.35">
      <c r="A126" s="60">
        <f>Лист1!K$3</f>
        <v>9.5</v>
      </c>
      <c r="B126" s="13">
        <f>Лист1!K$13</f>
        <v>430.47656345487877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1.6206604603249286</v>
      </c>
      <c r="D126" s="15">
        <f>C126-E126</f>
        <v>1.6206604603249286</v>
      </c>
      <c r="E126" s="32">
        <f>IF(D127 &gt; $D$110,D127/$B126*100,0)</f>
        <v>0</v>
      </c>
      <c r="F126" s="78">
        <v>109.9</v>
      </c>
      <c r="G126" s="79">
        <v>109.9</v>
      </c>
      <c r="H126" s="79">
        <v>109.9</v>
      </c>
      <c r="I126" s="79">
        <v>105.12479858398433</v>
      </c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434.82479858398438</v>
      </c>
      <c r="X126" s="135">
        <v>35</v>
      </c>
      <c r="Y126" s="135">
        <v>3</v>
      </c>
      <c r="Z126" s="39">
        <v>68.824798583984375</v>
      </c>
      <c r="AA126" s="39">
        <v>26.175201416015625</v>
      </c>
      <c r="AB126" s="135">
        <v>3</v>
      </c>
      <c r="AC126" s="135">
        <v>2</v>
      </c>
      <c r="AD126" s="135">
        <v>2</v>
      </c>
      <c r="AE126" s="135">
        <v>3</v>
      </c>
      <c r="AF126" s="39"/>
    </row>
    <row r="127" spans="1:32" s="12" customFormat="1" ht="16.95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4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2.9765634548787716</v>
      </c>
      <c r="E127" s="129">
        <f>B126</f>
        <v>430.47656345487877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8.8114992449355114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99999999999999" x14ac:dyDescent="0.35">
      <c r="A129" s="60">
        <f>Лист1!L$3</f>
        <v>10</v>
      </c>
      <c r="B129" s="13">
        <f>Лист1!L$13</f>
        <v>453.13322468934609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1.1990347194406132</v>
      </c>
      <c r="D129" s="15">
        <f>C129-E129</f>
        <v>1.1990347194406132</v>
      </c>
      <c r="E129" s="32">
        <f>IF(D130 &gt; $D$110,D130/$B129*100,0)</f>
        <v>0</v>
      </c>
      <c r="F129" s="78">
        <v>122</v>
      </c>
      <c r="G129" s="79">
        <v>109.9</v>
      </c>
      <c r="H129" s="79">
        <v>109.9</v>
      </c>
      <c r="I129" s="79">
        <v>115.91032714843749</v>
      </c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457.7103271484375</v>
      </c>
      <c r="X129" s="135">
        <v>37</v>
      </c>
      <c r="Y129" s="135">
        <v>3</v>
      </c>
      <c r="Z129" s="39">
        <v>91.7103271484375</v>
      </c>
      <c r="AA129" s="39">
        <v>3.2896728515625</v>
      </c>
      <c r="AB129" s="135">
        <v>1</v>
      </c>
      <c r="AC129" s="135">
        <v>2</v>
      </c>
      <c r="AD129" s="135">
        <v>1</v>
      </c>
      <c r="AE129" s="135">
        <v>2</v>
      </c>
      <c r="AF129" s="39">
        <v>12.1</v>
      </c>
    </row>
    <row r="130" spans="1:32" s="12" customFormat="1" ht="18.899999999999999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4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1.4332246893461047</v>
      </c>
      <c r="E130" s="129">
        <f>B129</f>
        <v>453.13322468934609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9.2796120803583904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99999999999999" x14ac:dyDescent="0.35">
      <c r="A132" s="60">
        <f>Лист1!M$3</f>
        <v>10.5</v>
      </c>
      <c r="B132" s="13">
        <f>Лист1!M$13</f>
        <v>475.78988592381336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0.81756381102145903</v>
      </c>
      <c r="D132" s="15">
        <f>C132-E132</f>
        <v>0.81756381102145903</v>
      </c>
      <c r="E132" s="32">
        <f>IF(D133 &gt; $D$110,D133/$B132*100,0)</f>
        <v>0</v>
      </c>
      <c r="F132" s="78">
        <v>122</v>
      </c>
      <c r="G132" s="79">
        <v>122</v>
      </c>
      <c r="H132" s="79">
        <v>122</v>
      </c>
      <c r="I132" s="79">
        <v>114.59585571289063</v>
      </c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480.59585571289063</v>
      </c>
      <c r="X132" s="135">
        <v>39</v>
      </c>
      <c r="Y132" s="135">
        <v>3</v>
      </c>
      <c r="Z132" s="39">
        <v>114.59585571289063</v>
      </c>
      <c r="AA132" s="39"/>
      <c r="AB132" s="135"/>
      <c r="AC132" s="135"/>
      <c r="AD132" s="135"/>
      <c r="AE132" s="135"/>
      <c r="AF132" s="39"/>
    </row>
    <row r="133" spans="1:32" s="12" customFormat="1" ht="18.899999999999999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4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-0.11011407618661906</v>
      </c>
      <c r="E133" s="129">
        <f>B132</f>
        <v>475.78988592381336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9.7477249157812675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99999999999999" x14ac:dyDescent="0.35">
      <c r="A135" s="60">
        <f>Лист1!N$3</f>
        <v>11</v>
      </c>
      <c r="B135" s="13">
        <f>Лист1!N$13</f>
        <v>498.44654715828068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0.47077207609496646</v>
      </c>
      <c r="D135" s="15">
        <f>C135-E135</f>
        <v>0.47077207609496646</v>
      </c>
      <c r="E135" s="32">
        <f>IF(D136 &gt; $D$110,D136/$B135*100,0)</f>
        <v>0</v>
      </c>
      <c r="F135" s="78">
        <v>97.8</v>
      </c>
      <c r="G135" s="79">
        <v>97.8</v>
      </c>
      <c r="H135" s="79">
        <v>97.8</v>
      </c>
      <c r="I135" s="79">
        <v>97.8</v>
      </c>
      <c r="J135" s="79">
        <v>112.28135375976564</v>
      </c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503.48135375976563</v>
      </c>
      <c r="X135" s="135">
        <v>41</v>
      </c>
      <c r="Y135" s="135">
        <v>4</v>
      </c>
      <c r="Z135" s="39">
        <v>15.481353759765625</v>
      </c>
      <c r="AA135" s="39">
        <v>79.518646240234375</v>
      </c>
      <c r="AB135" s="135">
        <v>7</v>
      </c>
      <c r="AC135" s="135">
        <v>2</v>
      </c>
      <c r="AD135" s="135">
        <v>4</v>
      </c>
      <c r="AE135" s="135">
        <v>4</v>
      </c>
      <c r="AF135" s="39">
        <v>12.1</v>
      </c>
    </row>
    <row r="136" spans="1:32" s="12" customFormat="1" ht="18.899999999999999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5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-2.653452841719286</v>
      </c>
      <c r="E136" s="129">
        <f>B135</f>
        <v>498.44654715828068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8.156141275343483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99999999999999" x14ac:dyDescent="0.35">
      <c r="A138" s="60">
        <f>Лист1!O$3</f>
        <v>11.2</v>
      </c>
      <c r="B138" s="13">
        <f>Лист1!O$13</f>
        <v>507.50921165206756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2.2480797175932632</v>
      </c>
      <c r="D138" s="15">
        <f>C138-E138</f>
        <v>0.98520379240482514</v>
      </c>
      <c r="E138" s="32">
        <f>IF(D139 &gt; $D$110,D139/$B138*100,0)</f>
        <v>1.2628759251884381</v>
      </c>
      <c r="F138" s="78">
        <v>109.9</v>
      </c>
      <c r="G138" s="79">
        <v>97.8</v>
      </c>
      <c r="H138" s="79">
        <v>97.8</v>
      </c>
      <c r="I138" s="79">
        <v>97.8</v>
      </c>
      <c r="J138" s="79">
        <v>109.33555908203124</v>
      </c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512.63555908203125</v>
      </c>
      <c r="X138" s="135">
        <v>42</v>
      </c>
      <c r="Y138" s="135">
        <v>4</v>
      </c>
      <c r="Z138" s="39">
        <v>24.63555908203125</v>
      </c>
      <c r="AA138" s="39">
        <v>70.36444091796875</v>
      </c>
      <c r="AB138" s="135">
        <v>6</v>
      </c>
      <c r="AC138" s="135">
        <v>2</v>
      </c>
      <c r="AD138" s="135">
        <v>4</v>
      </c>
      <c r="AE138" s="135">
        <v>4</v>
      </c>
      <c r="AF138" s="39">
        <v>12.1</v>
      </c>
    </row>
    <row r="139" spans="1:32" s="12" customFormat="1" ht="18.899999999999999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5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6.4092116520675972</v>
      </c>
      <c r="E139" s="129">
        <f>B138</f>
        <v>507.50921165206756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8.3059373826788025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99999999999999" x14ac:dyDescent="0.35">
      <c r="A141" s="60">
        <f>Лист1!P$3</f>
        <v>11.4</v>
      </c>
      <c r="B141" s="13">
        <f>Лист1!P$13</f>
        <v>516.5718761458545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1.6206604603249266</v>
      </c>
      <c r="D141" s="15">
        <f>C141-E141</f>
        <v>0.96791951534509146</v>
      </c>
      <c r="E141" s="32">
        <f>IF(D142 &gt; $D$110,D142/$B141*100,0)</f>
        <v>0.65274094497983515</v>
      </c>
      <c r="F141" s="78">
        <v>109.9</v>
      </c>
      <c r="G141" s="79">
        <v>109.9</v>
      </c>
      <c r="H141" s="79">
        <v>97.8</v>
      </c>
      <c r="I141" s="79">
        <v>97.8</v>
      </c>
      <c r="J141" s="79">
        <v>106.38979492187497</v>
      </c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521.789794921875</v>
      </c>
      <c r="X141" s="135">
        <v>43</v>
      </c>
      <c r="Y141" s="135">
        <v>4</v>
      </c>
      <c r="Z141" s="39">
        <v>33.789794921875</v>
      </c>
      <c r="AA141" s="39">
        <v>61.210205078125</v>
      </c>
      <c r="AB141" s="135">
        <v>6</v>
      </c>
      <c r="AC141" s="135">
        <v>2</v>
      </c>
      <c r="AD141" s="135">
        <v>3</v>
      </c>
      <c r="AE141" s="135">
        <v>4</v>
      </c>
      <c r="AF141" s="39"/>
    </row>
    <row r="142" spans="1:32" s="12" customFormat="1" ht="18.899999999999999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5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3.3718761458545146</v>
      </c>
      <c r="E142" s="129">
        <f>B141</f>
        <v>516.5718761458545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8.4557334900141239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99999999999999" x14ac:dyDescent="0.35">
      <c r="A144" s="60">
        <f>Лист1!Q$3</f>
        <v>11.6</v>
      </c>
      <c r="B144" s="27">
        <f>Лист1!Q$13</f>
        <v>525.63454063964139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1.0148763498589464</v>
      </c>
      <c r="D144" s="15">
        <f>C144-E144</f>
        <v>1.0148763498589464</v>
      </c>
      <c r="E144" s="32">
        <f>IF(D145 &gt; $D$110,D145/$B144*100,0)</f>
        <v>0</v>
      </c>
      <c r="F144" s="85">
        <v>109.9</v>
      </c>
      <c r="G144" s="82">
        <v>109.9</v>
      </c>
      <c r="H144" s="82">
        <v>97.8</v>
      </c>
      <c r="I144" s="82">
        <v>97.8</v>
      </c>
      <c r="J144" s="82">
        <v>115.54396972656247</v>
      </c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530.9439697265625</v>
      </c>
      <c r="X144" s="135">
        <v>43</v>
      </c>
      <c r="Y144" s="135">
        <v>4</v>
      </c>
      <c r="Z144" s="39">
        <v>42.9439697265625</v>
      </c>
      <c r="AA144" s="39">
        <v>52.0560302734375</v>
      </c>
      <c r="AB144" s="135">
        <v>5</v>
      </c>
      <c r="AC144" s="135">
        <v>2</v>
      </c>
      <c r="AD144" s="135">
        <v>3</v>
      </c>
      <c r="AE144" s="135">
        <v>4</v>
      </c>
      <c r="AF144" s="39">
        <v>12.1</v>
      </c>
    </row>
    <row r="145" spans="1:32" s="12" customFormat="1" ht="18.899999999999999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5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0.33454063964143188</v>
      </c>
      <c r="E145" s="129">
        <f>B144</f>
        <v>525.63454063964139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8.6055295973494452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99999999999999" x14ac:dyDescent="0.35">
      <c r="A147" s="60">
        <f>Лист1!R$3</f>
        <v>11.8</v>
      </c>
      <c r="B147" s="13">
        <f>Лист1!R$13</f>
        <v>534.69720513342838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0.42962729398504362</v>
      </c>
      <c r="D147" s="15">
        <f>C147-E147</f>
        <v>0.42962729398504362</v>
      </c>
      <c r="E147" s="32">
        <f>IF(D148 &gt; $D$110,D148/$B147*100,0)</f>
        <v>0</v>
      </c>
      <c r="F147" s="78">
        <v>109.9</v>
      </c>
      <c r="G147" s="79">
        <v>109.9</v>
      </c>
      <c r="H147" s="79">
        <v>109.9</v>
      </c>
      <c r="I147" s="79">
        <v>97.8</v>
      </c>
      <c r="J147" s="79">
        <v>112.59820556640619</v>
      </c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540.09820556640625</v>
      </c>
      <c r="X147" s="135">
        <v>44</v>
      </c>
      <c r="Y147" s="135">
        <v>4</v>
      </c>
      <c r="Z147" s="39">
        <v>52.09820556640625</v>
      </c>
      <c r="AA147" s="39">
        <v>42.90179443359375</v>
      </c>
      <c r="AB147" s="135">
        <v>4</v>
      </c>
      <c r="AC147" s="135">
        <v>2</v>
      </c>
      <c r="AD147" s="135">
        <v>3</v>
      </c>
      <c r="AE147" s="135">
        <v>4</v>
      </c>
      <c r="AF147" s="39">
        <v>12.1</v>
      </c>
    </row>
    <row r="148" spans="1:32" s="12" customFormat="1" ht="18.899999999999999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5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-2.702794866571594</v>
      </c>
      <c r="E148" s="129">
        <f>B147</f>
        <v>534.69720513342838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8.7553257046847666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99999999999999" x14ac:dyDescent="0.35">
      <c r="A150" s="60">
        <f>Лист1!S$3</f>
        <v>12</v>
      </c>
      <c r="B150" s="13">
        <f>Лист1!S$13</f>
        <v>543.75986962721527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2.0891335057519527</v>
      </c>
      <c r="D150" s="15">
        <f>C150-E150</f>
        <v>0.91952353957783672</v>
      </c>
      <c r="E150" s="32">
        <f>IF(D151 &gt; $D$110,D151/$B150*100,0)</f>
        <v>1.1696099661741159</v>
      </c>
      <c r="F150" s="87">
        <v>109.9</v>
      </c>
      <c r="G150" s="88">
        <v>109.9</v>
      </c>
      <c r="H150" s="88">
        <v>109.9</v>
      </c>
      <c r="I150" s="88">
        <v>109.9</v>
      </c>
      <c r="J150" s="88">
        <v>109.65238037109373</v>
      </c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549.25238037109375</v>
      </c>
      <c r="X150" s="135">
        <v>45</v>
      </c>
      <c r="Y150" s="135">
        <v>4</v>
      </c>
      <c r="Z150" s="39">
        <v>61.25238037109375</v>
      </c>
      <c r="AA150" s="141">
        <v>33.74761962890625</v>
      </c>
      <c r="AB150" s="135">
        <v>3</v>
      </c>
      <c r="AC150" s="135">
        <v>2</v>
      </c>
      <c r="AD150" s="135">
        <v>2</v>
      </c>
      <c r="AE150" s="135">
        <v>4</v>
      </c>
      <c r="AF150" s="39">
        <v>12.1</v>
      </c>
    </row>
    <row r="151" spans="1:32" s="12" customFormat="1" ht="16.9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5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6.3598696272152893</v>
      </c>
      <c r="E151" s="129">
        <f>B150</f>
        <v>543.75986962721527</v>
      </c>
      <c r="F151" s="20">
        <f>C151-F150</f>
        <v>-104.9</v>
      </c>
      <c r="G151" s="26">
        <f t="shared" ref="G151:M151" si="11">F151-G150</f>
        <v>-214.8</v>
      </c>
      <c r="H151" s="26">
        <f t="shared" si="11"/>
        <v>-324.70000000000005</v>
      </c>
      <c r="I151" s="26">
        <f t="shared" si="11"/>
        <v>-434.6</v>
      </c>
      <c r="J151" s="26">
        <f t="shared" si="11"/>
        <v>-544.25238037109375</v>
      </c>
      <c r="K151" s="26">
        <f t="shared" si="11"/>
        <v>-544.25238037109375</v>
      </c>
      <c r="L151" s="26">
        <f t="shared" si="11"/>
        <v>-544.25238037109375</v>
      </c>
      <c r="M151" s="26">
        <f t="shared" si="11"/>
        <v>-544.25238037109375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8.9051218120200879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1.7751483063904672</v>
      </c>
      <c r="D153" s="31">
        <f>AVERAGE(D111,D114,D117,D120,D123,D126,D129,D132,D135,D138,D141,D144,D147,D150,)</f>
        <v>0.76232757697228404</v>
      </c>
      <c r="E153" s="31">
        <f>AVERAGE(E111,E114,E117,E120,E123,E126,E129,E132,E135,E138,E141,E144,E147,E150,)</f>
        <v>1.0128207294181832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H9:H10"/>
    <mergeCell ref="A7:A9"/>
    <mergeCell ref="B9:B10"/>
    <mergeCell ref="C9:C10"/>
    <mergeCell ref="F9:F10"/>
    <mergeCell ref="G9:G10"/>
    <mergeCell ref="A57:A59"/>
    <mergeCell ref="B59:B60"/>
    <mergeCell ref="C59:C60"/>
    <mergeCell ref="F59:F60"/>
    <mergeCell ref="G59:G60"/>
    <mergeCell ref="L59:L60"/>
    <mergeCell ref="M59:M60"/>
    <mergeCell ref="I9:I10"/>
    <mergeCell ref="J9:J10"/>
    <mergeCell ref="K9:K10"/>
    <mergeCell ref="L9:L10"/>
    <mergeCell ref="M9:M10"/>
    <mergeCell ref="H59:H60"/>
    <mergeCell ref="I59:I60"/>
    <mergeCell ref="J59:J60"/>
    <mergeCell ref="K59:K60"/>
    <mergeCell ref="I109:I110"/>
    <mergeCell ref="J109:J110"/>
    <mergeCell ref="K109:K110"/>
    <mergeCell ref="L109:L110"/>
    <mergeCell ref="M109:M110"/>
    <mergeCell ref="A107:A109"/>
    <mergeCell ref="B109:B110"/>
    <mergeCell ref="C109:C110"/>
    <mergeCell ref="F109:F110"/>
    <mergeCell ref="G109:G110"/>
    <mergeCell ref="H109:H1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21"/>
  <dimension ref="A1:AI153"/>
  <sheetViews>
    <sheetView topLeftCell="A4" zoomScaleNormal="100" workbookViewId="0">
      <selection activeCell="D5" sqref="D5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Лист1!F$14</f>
        <v>252.85834686586551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4.2942410248476284</v>
      </c>
      <c r="D11" s="15">
        <f>C11-E11</f>
        <v>1.1864350286175918</v>
      </c>
      <c r="E11" s="32">
        <f>IF(D12 &gt; $D$10,D12/$B11*100,0)</f>
        <v>3.1078059962300366</v>
      </c>
      <c r="F11" s="78">
        <v>85.7</v>
      </c>
      <c r="G11" s="79">
        <v>85.7</v>
      </c>
      <c r="H11" s="79">
        <v>84.012475585937494</v>
      </c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255.4124755859375</v>
      </c>
      <c r="X11" s="96">
        <v>21</v>
      </c>
      <c r="Y11" s="96">
        <v>2</v>
      </c>
      <c r="Z11" s="39">
        <v>11.4124755859375</v>
      </c>
      <c r="AA11" s="97">
        <v>43.5875244140625</v>
      </c>
      <c r="AB11" s="135">
        <v>4</v>
      </c>
      <c r="AC11" s="135">
        <v>5</v>
      </c>
      <c r="AD11" s="135">
        <v>2</v>
      </c>
      <c r="AE11" s="135">
        <v>2</v>
      </c>
      <c r="AF11" s="39">
        <v>24.2</v>
      </c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3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7.8583468658655136</v>
      </c>
      <c r="E12" s="129">
        <f>B11</f>
        <v>252.85834686586551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6.8831500514012545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Лист1!G$14</f>
        <v>270.91965735628446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1.7420874521768956</v>
      </c>
      <c r="D14" s="15">
        <f>C14-E14</f>
        <v>1.7420874521768956</v>
      </c>
      <c r="E14" s="32">
        <f t="shared" ref="E14:E50" si="2">IF(D15 &gt; $D$10,D15/$B14*100,0)</f>
        <v>0</v>
      </c>
      <c r="F14" s="78">
        <v>97.8</v>
      </c>
      <c r="G14" s="79">
        <v>85.7</v>
      </c>
      <c r="H14" s="79">
        <v>90.156219482421875</v>
      </c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273.65621948242188</v>
      </c>
      <c r="X14" s="96">
        <v>22</v>
      </c>
      <c r="Y14" s="96">
        <v>2</v>
      </c>
      <c r="Z14" s="39">
        <v>29.656219482421875</v>
      </c>
      <c r="AA14" s="97">
        <v>25.343780517578125</v>
      </c>
      <c r="AB14" s="135">
        <v>3</v>
      </c>
      <c r="AC14" s="135">
        <v>5</v>
      </c>
      <c r="AD14" s="135">
        <v>1</v>
      </c>
      <c r="AE14" s="135">
        <v>2</v>
      </c>
      <c r="AF14" s="39">
        <v>24.2</v>
      </c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+SIGN($R14)+SIGN($S14)+SIGN($T14))</f>
        <v>3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1.7196573562844719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Лист1!H$14</f>
        <v>288.98096784670344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3.6960800312529192</v>
      </c>
      <c r="D17" s="15">
        <f>C17-E17</f>
        <v>1.0381306500403924</v>
      </c>
      <c r="E17" s="32">
        <f t="shared" si="2"/>
        <v>2.6579493812125268</v>
      </c>
      <c r="F17" s="78">
        <v>109.9</v>
      </c>
      <c r="G17" s="79">
        <v>97.8</v>
      </c>
      <c r="H17" s="79">
        <v>84.199963378906261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291.89996337890625</v>
      </c>
      <c r="X17" s="96">
        <v>24</v>
      </c>
      <c r="Y17" s="96">
        <v>2</v>
      </c>
      <c r="Z17" s="39">
        <v>47.89996337890625</v>
      </c>
      <c r="AA17" s="97">
        <v>7.10003662109375</v>
      </c>
      <c r="AB17" s="135">
        <v>1</v>
      </c>
      <c r="AC17" s="135">
        <v>5</v>
      </c>
      <c r="AD17" s="135">
        <v>1</v>
      </c>
      <c r="AE17" s="135">
        <v>2</v>
      </c>
      <c r="AF17" s="39">
        <v>24.2</v>
      </c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7.6809678467034246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Лист1!I$14</f>
        <v>307.04227833712241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1.479365760872559</v>
      </c>
      <c r="D20" s="15">
        <f>C20-E20</f>
        <v>1.479365760872559</v>
      </c>
      <c r="E20" s="32">
        <f t="shared" si="2"/>
        <v>0</v>
      </c>
      <c r="F20" s="78">
        <v>109.9</v>
      </c>
      <c r="G20" s="79">
        <v>109.9</v>
      </c>
      <c r="H20" s="79">
        <v>90.343707275390614</v>
      </c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310.14370727539063</v>
      </c>
      <c r="X20" s="96">
        <v>25</v>
      </c>
      <c r="Y20" s="96">
        <v>2</v>
      </c>
      <c r="Z20" s="39">
        <v>66.143707275390625</v>
      </c>
      <c r="AA20" s="97"/>
      <c r="AB20" s="135"/>
      <c r="AC20" s="135">
        <v>5</v>
      </c>
      <c r="AD20" s="135">
        <v>1</v>
      </c>
      <c r="AE20" s="135">
        <v>2</v>
      </c>
      <c r="AF20" s="39">
        <v>24.2</v>
      </c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+SIGN($R20)+SIGN($S20)+SIGN($T20))</f>
        <v>3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1.5422783371224114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Лист1!J$14</f>
        <v>325.10358882754139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3.2308437029015051</v>
      </c>
      <c r="D23" s="15">
        <f>C23-E23</f>
        <v>0.92278280003590485</v>
      </c>
      <c r="E23" s="32">
        <f t="shared" si="2"/>
        <v>2.3080609028656003</v>
      </c>
      <c r="F23" s="78">
        <v>122</v>
      </c>
      <c r="G23" s="79">
        <v>122</v>
      </c>
      <c r="H23" s="79">
        <v>84.387451171875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328.387451171875</v>
      </c>
      <c r="X23" s="96">
        <v>27</v>
      </c>
      <c r="Y23" s="96">
        <v>2</v>
      </c>
      <c r="Z23" s="39">
        <v>84.387451171875</v>
      </c>
      <c r="AA23" s="141"/>
      <c r="AB23" s="135"/>
      <c r="AC23" s="135"/>
      <c r="AD23" s="135"/>
      <c r="AE23" s="135"/>
      <c r="AF23" s="39"/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7.5035888275414209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Лист1!K$14</f>
        <v>343.16489931796031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1.2719538993164874</v>
      </c>
      <c r="D26" s="15">
        <f>C26-E26</f>
        <v>1.2719538993164874</v>
      </c>
      <c r="E26" s="32">
        <f t="shared" si="2"/>
        <v>0</v>
      </c>
      <c r="F26" s="78">
        <v>122</v>
      </c>
      <c r="G26" s="79">
        <v>122</v>
      </c>
      <c r="H26" s="79">
        <v>102.6312255859375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346.6312255859375</v>
      </c>
      <c r="X26" s="96">
        <v>28</v>
      </c>
      <c r="Y26" s="96">
        <v>2</v>
      </c>
      <c r="Z26" s="39">
        <v>102.6312255859375</v>
      </c>
      <c r="AA26" s="141"/>
      <c r="AB26" s="135"/>
      <c r="AC26" s="135"/>
      <c r="AD26" s="135"/>
      <c r="AE26" s="135"/>
      <c r="AF26" s="39"/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1.364899317960294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Лист1!L$14</f>
        <v>361.22620980837928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2.8586546402203425</v>
      </c>
      <c r="D29" s="15">
        <f>C29-E29</f>
        <v>0.83050452003231401</v>
      </c>
      <c r="E29" s="32">
        <f t="shared" si="2"/>
        <v>2.0281501201880285</v>
      </c>
      <c r="F29" s="78">
        <v>122</v>
      </c>
      <c r="G29" s="79">
        <v>122</v>
      </c>
      <c r="H29" s="79">
        <v>120.87496948242188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364.87496948242188</v>
      </c>
      <c r="X29" s="140">
        <v>30</v>
      </c>
      <c r="Y29" s="140">
        <v>2</v>
      </c>
      <c r="Z29" s="39">
        <v>120.87496948242188</v>
      </c>
      <c r="AA29" s="39"/>
      <c r="AB29" s="135"/>
      <c r="AC29" s="135"/>
      <c r="AD29" s="135"/>
      <c r="AE29" s="135"/>
      <c r="AF29" s="39"/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7.3262098083793035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Лист1!M$14</f>
        <v>379.28752029879826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1.1040490590092209</v>
      </c>
      <c r="D32" s="15">
        <f>C32-E32</f>
        <v>1.1040490590092209</v>
      </c>
      <c r="E32" s="32">
        <f t="shared" si="2"/>
        <v>0</v>
      </c>
      <c r="F32" s="78">
        <v>97.8</v>
      </c>
      <c r="G32" s="79">
        <v>97.8</v>
      </c>
      <c r="H32" s="79">
        <v>97.8</v>
      </c>
      <c r="I32" s="79">
        <v>89.718713378906273</v>
      </c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383.11871337890625</v>
      </c>
      <c r="X32" s="96">
        <v>31</v>
      </c>
      <c r="Y32" s="96">
        <v>3</v>
      </c>
      <c r="Z32" s="39">
        <v>17.11871337890625</v>
      </c>
      <c r="AA32" s="39">
        <v>37.88128662109375</v>
      </c>
      <c r="AB32" s="135">
        <v>4</v>
      </c>
      <c r="AC32" s="135">
        <v>5</v>
      </c>
      <c r="AD32" s="135">
        <v>2</v>
      </c>
      <c r="AE32" s="135">
        <v>3</v>
      </c>
      <c r="AF32" s="39">
        <v>24.2</v>
      </c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+SIGN($R32)+SIGN($S32)+SIGN($T32))</f>
        <v>4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0.18752029879829024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Лист1!N$14</f>
        <v>397.34883078921723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2.554136316208496</v>
      </c>
      <c r="D35" s="15">
        <f>C35-E35</f>
        <v>1.006672145493714</v>
      </c>
      <c r="E35" s="32">
        <f t="shared" si="2"/>
        <v>1.547464170714782</v>
      </c>
      <c r="F35" s="78">
        <v>109.9</v>
      </c>
      <c r="G35" s="79">
        <v>97.8</v>
      </c>
      <c r="H35" s="79">
        <v>97.8</v>
      </c>
      <c r="I35" s="79">
        <v>95.862457275390625</v>
      </c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401.36245727539063</v>
      </c>
      <c r="X35" s="96">
        <v>33</v>
      </c>
      <c r="Y35" s="96">
        <v>3</v>
      </c>
      <c r="Z35" s="39">
        <v>35.362457275390625</v>
      </c>
      <c r="AA35" s="39">
        <v>19.637542724609375</v>
      </c>
      <c r="AB35" s="135">
        <v>2</v>
      </c>
      <c r="AC35" s="135">
        <v>5</v>
      </c>
      <c r="AD35" s="135">
        <v>1</v>
      </c>
      <c r="AE35" s="135">
        <v>3</v>
      </c>
      <c r="AF35" s="39">
        <v>36.299999999999997</v>
      </c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+SIGN($R35)+SIGN($S35)+SIGN($T35))</f>
        <v>4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6.1488307892172429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Лист1!O$14</f>
        <v>404.57335498538481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1.303436056874111</v>
      </c>
      <c r="D38" s="15">
        <f>C38-E38</f>
        <v>1.303436056874111</v>
      </c>
      <c r="E38" s="32">
        <f t="shared" si="2"/>
        <v>0</v>
      </c>
      <c r="F38" s="78">
        <v>109.9</v>
      </c>
      <c r="G38" s="79">
        <v>109.9</v>
      </c>
      <c r="H38" s="79">
        <v>97.8</v>
      </c>
      <c r="I38" s="79">
        <v>91.059942626953102</v>
      </c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408.65994262695313</v>
      </c>
      <c r="X38" s="135">
        <v>33</v>
      </c>
      <c r="Y38" s="135">
        <v>3</v>
      </c>
      <c r="Z38" s="39">
        <v>42.659942626953125</v>
      </c>
      <c r="AA38" s="39">
        <v>12.340057373046875</v>
      </c>
      <c r="AB38" s="135">
        <v>2</v>
      </c>
      <c r="AC38" s="135">
        <v>5</v>
      </c>
      <c r="AD38" s="135">
        <v>1</v>
      </c>
      <c r="AE38" s="135">
        <v>3</v>
      </c>
      <c r="AF38" s="39">
        <v>24.2</v>
      </c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+SIGN($R38)+SIGN($S38)+SIGN($T38))</f>
        <v>4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1.273354985384799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Лист1!P$14</f>
        <v>411.79787918155239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9.6620017165507527E-2</v>
      </c>
      <c r="D41" s="15">
        <f>C41-E41</f>
        <v>9.6620017165507527E-2</v>
      </c>
      <c r="E41" s="32">
        <f t="shared" si="2"/>
        <v>0</v>
      </c>
      <c r="F41" s="78">
        <v>109.9</v>
      </c>
      <c r="G41" s="79">
        <v>109.9</v>
      </c>
      <c r="H41" s="79">
        <v>109.9</v>
      </c>
      <c r="I41" s="79">
        <v>86.257458496093705</v>
      </c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415.95745849609375</v>
      </c>
      <c r="X41" s="135">
        <v>34</v>
      </c>
      <c r="Y41" s="135">
        <v>3</v>
      </c>
      <c r="Z41" s="39">
        <v>49.95745849609375</v>
      </c>
      <c r="AA41" s="39">
        <v>5.04254150390625</v>
      </c>
      <c r="AB41" s="135">
        <v>1</v>
      </c>
      <c r="AC41" s="135">
        <v>5</v>
      </c>
      <c r="AD41" s="135">
        <v>1</v>
      </c>
      <c r="AE41" s="135">
        <v>3</v>
      </c>
      <c r="AF41" s="39">
        <v>24.2</v>
      </c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+SIGN($R41)+SIGN($S41)+SIGN($T41))</f>
        <v>4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-3.6021208184475881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Лист1!Q$14</f>
        <v>419.02240337771997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1.8190920858350661</v>
      </c>
      <c r="D44" s="15">
        <f>C44-E44</f>
        <v>0.95460289658886666</v>
      </c>
      <c r="E44" s="32">
        <f t="shared" si="2"/>
        <v>0.86448918924619944</v>
      </c>
      <c r="F44" s="85">
        <v>109.9</v>
      </c>
      <c r="G44" s="82">
        <v>109.9</v>
      </c>
      <c r="H44" s="82">
        <v>109.9</v>
      </c>
      <c r="I44" s="82">
        <v>93.554943847656205</v>
      </c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423.25494384765625</v>
      </c>
      <c r="X44" s="135">
        <v>34</v>
      </c>
      <c r="Y44" s="135">
        <v>3</v>
      </c>
      <c r="Z44" s="39">
        <v>57.25494384765625</v>
      </c>
      <c r="AA44" s="39"/>
      <c r="AB44" s="135"/>
      <c r="AC44" s="135">
        <v>5</v>
      </c>
      <c r="AD44" s="135">
        <v>1</v>
      </c>
      <c r="AE44" s="135">
        <v>3</v>
      </c>
      <c r="AF44" s="39">
        <v>36.299999999999997</v>
      </c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+SIGN($R44)+SIGN($S44)+SIGN($T44))</f>
        <v>4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3.6224033777199907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Лист1!R$14</f>
        <v>426.2469275738876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0.64444513172741602</v>
      </c>
      <c r="D47" s="15">
        <f>C47-E47</f>
        <v>0.64444513172741602</v>
      </c>
      <c r="E47" s="32">
        <f t="shared" si="2"/>
        <v>0</v>
      </c>
      <c r="F47" s="78">
        <v>122</v>
      </c>
      <c r="G47" s="79">
        <v>109.9</v>
      </c>
      <c r="H47" s="79">
        <v>109.9</v>
      </c>
      <c r="I47" s="79">
        <v>88.752459716796864</v>
      </c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430.55245971679688</v>
      </c>
      <c r="X47" s="135">
        <v>35</v>
      </c>
      <c r="Y47" s="135">
        <v>3</v>
      </c>
      <c r="Z47" s="39">
        <v>64.552459716796875</v>
      </c>
      <c r="AA47" s="39"/>
      <c r="AB47" s="135"/>
      <c r="AC47" s="135">
        <v>5</v>
      </c>
      <c r="AD47" s="135">
        <v>1</v>
      </c>
      <c r="AE47" s="135">
        <v>2</v>
      </c>
      <c r="AF47" s="39">
        <v>24.2</v>
      </c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+SIGN($R47)+SIGN($S47)+SIGN($T47))</f>
        <v>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-1.2530724261123964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99999999999999" x14ac:dyDescent="0.35">
      <c r="A50" s="60">
        <f>Лист1!S$3</f>
        <v>12</v>
      </c>
      <c r="B50" s="224">
        <f>Лист1!S$14</f>
        <v>433.47145177005518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2.3003710461986242</v>
      </c>
      <c r="D50" s="15">
        <f>C50-E50</f>
        <v>0.92278280003590463</v>
      </c>
      <c r="E50" s="32">
        <f t="shared" si="2"/>
        <v>1.3775882461627196</v>
      </c>
      <c r="F50" s="87">
        <v>122</v>
      </c>
      <c r="G50" s="88">
        <v>109.9</v>
      </c>
      <c r="H50" s="88">
        <v>109.9</v>
      </c>
      <c r="I50" s="88">
        <v>96.049945068359364</v>
      </c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437.84994506835938</v>
      </c>
      <c r="X50" s="135">
        <v>36</v>
      </c>
      <c r="Y50" s="135">
        <v>3</v>
      </c>
      <c r="Z50" s="39">
        <v>71.849945068359375</v>
      </c>
      <c r="AA50" s="141"/>
      <c r="AC50" s="135">
        <v>5</v>
      </c>
      <c r="AD50" s="135">
        <v>1</v>
      </c>
      <c r="AE50" s="135">
        <v>2</v>
      </c>
      <c r="AF50" s="39">
        <v>24.2</v>
      </c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4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5.9714517700551824</v>
      </c>
      <c r="E51" s="129">
        <f>B50</f>
        <v>433.47145177005518</v>
      </c>
      <c r="F51" s="20">
        <f>C51-F50</f>
        <v>-118</v>
      </c>
      <c r="G51" s="26">
        <f t="shared" ref="G51:M51" si="3">F51-G50</f>
        <v>-227.9</v>
      </c>
      <c r="H51" s="26">
        <f t="shared" si="3"/>
        <v>-337.8</v>
      </c>
      <c r="I51" s="26">
        <f t="shared" si="3"/>
        <v>-433.84994506835938</v>
      </c>
      <c r="J51" s="26">
        <f t="shared" si="3"/>
        <v>-433.84994506835938</v>
      </c>
      <c r="K51" s="26">
        <f t="shared" si="3"/>
        <v>-433.84994506835938</v>
      </c>
      <c r="L51" s="26">
        <f t="shared" si="3"/>
        <v>-433.84994506835938</v>
      </c>
      <c r="M51" s="26">
        <f t="shared" si="3"/>
        <v>-433.84994506835938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8.8733771026870905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1.8930250816404519</v>
      </c>
      <c r="D53" s="31">
        <f>AVERAGE(D11,D14,D17,D20,D23,D26,D29,D32,D35,D38,D41,D44,D47,D50,)</f>
        <v>0.96692454786579229</v>
      </c>
      <c r="E53" s="31">
        <f>AVERAGE(E11,E14,E17,E20,E23,E26,E29,E32,E35,E38,E41,E44,E47,E50,)</f>
        <v>0.92610053377465962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9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9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95" x14ac:dyDescent="0.3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99999999999999" x14ac:dyDescent="0.35">
      <c r="A61" s="60">
        <f>Лист1!F$3</f>
        <v>7</v>
      </c>
      <c r="B61" s="13">
        <f>Лист1!F$14</f>
        <v>252.85834686586551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13.864816922362872</v>
      </c>
      <c r="D61" s="15">
        <f>C61-E61</f>
        <v>1.1864350286175913</v>
      </c>
      <c r="E61" s="32">
        <f>IF(D62 &gt; $D$60,D62/$B61*100,0)</f>
        <v>12.67838189374528</v>
      </c>
      <c r="F61" s="78">
        <v>85.137491861979171</v>
      </c>
      <c r="G61" s="79">
        <v>85.137491861979171</v>
      </c>
      <c r="H61" s="79">
        <v>85.137491861979171</v>
      </c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 t="s">
        <v>70</v>
      </c>
      <c r="W61" s="17">
        <f t="shared" ref="W61:W70" si="6">SUM(F61:T61)</f>
        <v>255.4124755859375</v>
      </c>
      <c r="X61" s="96">
        <v>21</v>
      </c>
      <c r="Y61" s="96">
        <v>2</v>
      </c>
      <c r="Z61" s="39">
        <v>11.4124755859375</v>
      </c>
      <c r="AA61" s="97">
        <v>63.5875244140625</v>
      </c>
      <c r="AB61" s="135">
        <v>6</v>
      </c>
      <c r="AC61" s="135">
        <v>3</v>
      </c>
      <c r="AD61" s="135">
        <v>3</v>
      </c>
      <c r="AE61" s="135">
        <v>2</v>
      </c>
      <c r="AF61" s="39">
        <v>12.1</v>
      </c>
    </row>
    <row r="62" spans="1:35" ht="16.95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3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32.058346865865531</v>
      </c>
      <c r="E62" s="129">
        <f>B61</f>
        <v>252.85834686586551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95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6.8831500514012545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99999999999999" x14ac:dyDescent="0.35">
      <c r="A64" s="60">
        <f>Лист1!G$3</f>
        <v>7.5</v>
      </c>
      <c r="B64" s="13">
        <f>Лист1!G$14</f>
        <v>270.91965735628446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1.7420874521768956</v>
      </c>
      <c r="D64" s="15">
        <f>C64-E64</f>
        <v>1.7420874521768956</v>
      </c>
      <c r="E64" s="32">
        <f t="shared" ref="E64:E100" si="7">IF(D65 &gt; $D$60,D65/$B64*100,0)</f>
        <v>0</v>
      </c>
      <c r="F64" s="78">
        <v>85.7</v>
      </c>
      <c r="G64" s="79">
        <v>85.7</v>
      </c>
      <c r="H64" s="79">
        <v>102.25621948242187</v>
      </c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273.65621948242188</v>
      </c>
      <c r="X64" s="96">
        <v>22</v>
      </c>
      <c r="Y64" s="96">
        <v>2</v>
      </c>
      <c r="Z64" s="39">
        <v>29.656219482421875</v>
      </c>
      <c r="AA64" s="97">
        <v>45.343780517578125</v>
      </c>
      <c r="AB64" s="135">
        <v>4</v>
      </c>
      <c r="AC64" s="135">
        <v>3</v>
      </c>
      <c r="AD64" s="135">
        <v>2</v>
      </c>
      <c r="AE64" s="135">
        <v>2</v>
      </c>
      <c r="AF64" s="39">
        <v>24.2</v>
      </c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3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1.7196573562844719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99999999999999" x14ac:dyDescent="0.35">
      <c r="A67" s="60">
        <f>Лист1!H$3</f>
        <v>8</v>
      </c>
      <c r="B67" s="13">
        <f>Лист1!H$14</f>
        <v>288.98096784670344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3.6960800312529192</v>
      </c>
      <c r="D67" s="15">
        <f>C67-E67</f>
        <v>1.0381306500403924</v>
      </c>
      <c r="E67" s="32">
        <f t="shared" si="7"/>
        <v>2.6579493812125268</v>
      </c>
      <c r="F67" s="78">
        <v>97.8</v>
      </c>
      <c r="G67" s="79">
        <v>97.8</v>
      </c>
      <c r="H67" s="79">
        <v>96.299963378906256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291.89996337890625</v>
      </c>
      <c r="X67" s="96">
        <v>24</v>
      </c>
      <c r="Y67" s="96">
        <v>2</v>
      </c>
      <c r="Z67" s="39">
        <v>47.89996337890625</v>
      </c>
      <c r="AA67" s="97">
        <v>27.10003662109375</v>
      </c>
      <c r="AB67" s="135">
        <v>3</v>
      </c>
      <c r="AC67" s="135">
        <v>3</v>
      </c>
      <c r="AD67" s="135">
        <v>2</v>
      </c>
      <c r="AE67" s="135">
        <v>2</v>
      </c>
      <c r="AF67" s="39">
        <v>12.1</v>
      </c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7.6809678467034246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99999999999999" x14ac:dyDescent="0.35">
      <c r="A70" s="60">
        <f>Лист1!I$3</f>
        <v>8.5</v>
      </c>
      <c r="B70" s="13">
        <f>Лист1!I$14</f>
        <v>307.04227833712241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1.479365760872559</v>
      </c>
      <c r="D70" s="15">
        <f>C70-E70</f>
        <v>1.479365760872559</v>
      </c>
      <c r="E70" s="32">
        <f t="shared" si="7"/>
        <v>0</v>
      </c>
      <c r="F70" s="78">
        <v>109.9</v>
      </c>
      <c r="G70" s="79">
        <v>97.8</v>
      </c>
      <c r="H70" s="79">
        <v>102.44370727539064</v>
      </c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310.14370727539063</v>
      </c>
      <c r="X70" s="96">
        <v>25</v>
      </c>
      <c r="Y70" s="96">
        <v>2</v>
      </c>
      <c r="Z70" s="39">
        <v>66.143707275390625</v>
      </c>
      <c r="AA70" s="97">
        <v>8.856292724609375</v>
      </c>
      <c r="AB70" s="135">
        <v>1</v>
      </c>
      <c r="AC70" s="135">
        <v>3</v>
      </c>
      <c r="AD70" s="135">
        <v>1</v>
      </c>
      <c r="AE70" s="135">
        <v>2</v>
      </c>
      <c r="AF70" s="39">
        <v>24.2</v>
      </c>
    </row>
    <row r="71" spans="1:32" s="12" customFormat="1" ht="16.95" hidden="1" x14ac:dyDescent="0.3">
      <c r="A71" s="58"/>
      <c r="B71" s="201"/>
      <c r="C71" s="19">
        <f>$C$58*
(SIGN($F70)+SIGN($G70)+SIGN($H70)+SIGN($I70)
+SIGN($J70)+SIGN($K70)+SIGN($L70)+SIGN($M70)
+SIGN($N70)+SIGN($O70)+SIGN($P70)+SIGN($Q70)
+SIGN($R70)+SIGN($S70)+SIGN($T70))</f>
        <v>3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1.5422783371224114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201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99999999999999" x14ac:dyDescent="0.35">
      <c r="A73" s="60">
        <f>Лист1!J$3</f>
        <v>9</v>
      </c>
      <c r="B73" s="13">
        <f>Лист1!J$14</f>
        <v>325.10358882754139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3.2308437029015051</v>
      </c>
      <c r="D73" s="15">
        <f>C73-E73</f>
        <v>0.92278280003590485</v>
      </c>
      <c r="E73" s="32">
        <f t="shared" si="7"/>
        <v>2.3080609028656003</v>
      </c>
      <c r="F73" s="78">
        <v>122</v>
      </c>
      <c r="G73" s="79">
        <v>109.9</v>
      </c>
      <c r="H73" s="79">
        <v>96.487451171874994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328.387451171875</v>
      </c>
      <c r="X73" s="135">
        <v>27</v>
      </c>
      <c r="Y73" s="135">
        <v>2</v>
      </c>
      <c r="Z73" s="39">
        <v>84.387451171875</v>
      </c>
      <c r="AA73" s="141"/>
      <c r="AB73" s="135"/>
      <c r="AC73" s="135">
        <v>3</v>
      </c>
      <c r="AD73" s="135">
        <v>1</v>
      </c>
      <c r="AE73" s="135">
        <v>1</v>
      </c>
      <c r="AF73" s="39">
        <v>12.1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7.5035888275414209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99999999999999" x14ac:dyDescent="0.35">
      <c r="A76" s="60">
        <f>Лист1!K$3</f>
        <v>9.5</v>
      </c>
      <c r="B76" s="13">
        <f>Лист1!K$14</f>
        <v>343.16489931796031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1.2719538993164874</v>
      </c>
      <c r="D76" s="15">
        <f>C76-E76</f>
        <v>1.2719538993164874</v>
      </c>
      <c r="E76" s="32">
        <f t="shared" si="7"/>
        <v>0</v>
      </c>
      <c r="F76" s="78">
        <v>122</v>
      </c>
      <c r="G76" s="79">
        <v>122</v>
      </c>
      <c r="H76" s="79">
        <v>102.6312255859375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346.6312255859375</v>
      </c>
      <c r="X76" s="135">
        <v>28</v>
      </c>
      <c r="Y76" s="135">
        <v>2</v>
      </c>
      <c r="Z76" s="39">
        <v>102.6312255859375</v>
      </c>
      <c r="AA76" s="39"/>
      <c r="AB76" s="135"/>
      <c r="AC76" s="135"/>
      <c r="AD76" s="135"/>
      <c r="AE76" s="135"/>
      <c r="AF76" s="39"/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1.364899317960294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99999999999999" x14ac:dyDescent="0.35">
      <c r="A79" s="60">
        <f>Лист1!L$3</f>
        <v>10</v>
      </c>
      <c r="B79" s="13">
        <f>Лист1!L$14</f>
        <v>361.22620980837928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2.8586546402203425</v>
      </c>
      <c r="D79" s="15">
        <f>C79-E79</f>
        <v>0.83050452003231401</v>
      </c>
      <c r="E79" s="32">
        <f t="shared" si="7"/>
        <v>2.0281501201880285</v>
      </c>
      <c r="F79" s="78">
        <v>122</v>
      </c>
      <c r="G79" s="79">
        <v>122</v>
      </c>
      <c r="H79" s="79">
        <v>120.87496948242188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364.87496948242188</v>
      </c>
      <c r="X79" s="135">
        <v>30</v>
      </c>
      <c r="Y79" s="135">
        <v>2</v>
      </c>
      <c r="Z79" s="39">
        <v>120.87496948242188</v>
      </c>
      <c r="AA79" s="39"/>
      <c r="AB79" s="135"/>
      <c r="AC79" s="135"/>
      <c r="AD79" s="135"/>
      <c r="AE79" s="135"/>
      <c r="AF79" s="39"/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7.3262098083793035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99999999999999" x14ac:dyDescent="0.35">
      <c r="A82" s="60">
        <f>Лист1!M$3</f>
        <v>10.5</v>
      </c>
      <c r="B82" s="13">
        <f>Лист1!M$14</f>
        <v>379.28752029879826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1.1040490590092209</v>
      </c>
      <c r="D82" s="15">
        <f>C82-E82</f>
        <v>1.1040490590092209</v>
      </c>
      <c r="E82" s="32">
        <f t="shared" si="7"/>
        <v>0</v>
      </c>
      <c r="F82" s="78">
        <v>97.8</v>
      </c>
      <c r="G82" s="79">
        <v>97.8</v>
      </c>
      <c r="H82" s="79">
        <v>85.7</v>
      </c>
      <c r="I82" s="79">
        <v>101.81871337890624</v>
      </c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383.11871337890625</v>
      </c>
      <c r="X82" s="135">
        <v>31</v>
      </c>
      <c r="Y82" s="135">
        <v>3</v>
      </c>
      <c r="Z82" s="39">
        <v>17.11871337890625</v>
      </c>
      <c r="AA82" s="39">
        <v>57.88128662109375</v>
      </c>
      <c r="AB82" s="135">
        <v>5</v>
      </c>
      <c r="AC82" s="135">
        <v>3</v>
      </c>
      <c r="AD82" s="135">
        <v>3</v>
      </c>
      <c r="AE82" s="135">
        <v>3</v>
      </c>
      <c r="AF82" s="39">
        <v>24.2</v>
      </c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4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0.18752029879829024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99999999999999" x14ac:dyDescent="0.35">
      <c r="A85" s="60">
        <f>Лист1!N$3</f>
        <v>11</v>
      </c>
      <c r="B85" s="13">
        <f>Лист1!N$14</f>
        <v>397.34883078921723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2.554136316208496</v>
      </c>
      <c r="D85" s="15">
        <f>C85-E85</f>
        <v>1.006672145493714</v>
      </c>
      <c r="E85" s="32">
        <f t="shared" si="7"/>
        <v>1.547464170714782</v>
      </c>
      <c r="F85" s="78">
        <v>109.9</v>
      </c>
      <c r="G85" s="79">
        <v>97.8</v>
      </c>
      <c r="H85" s="79">
        <v>97.8</v>
      </c>
      <c r="I85" s="79">
        <v>95.862457275390625</v>
      </c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401.36245727539063</v>
      </c>
      <c r="X85" s="135">
        <v>33</v>
      </c>
      <c r="Y85" s="135">
        <v>3</v>
      </c>
      <c r="Z85" s="39">
        <v>35.362457275390625</v>
      </c>
      <c r="AA85" s="39">
        <v>39.637542724609375</v>
      </c>
      <c r="AB85" s="135">
        <v>4</v>
      </c>
      <c r="AC85" s="135">
        <v>3</v>
      </c>
      <c r="AD85" s="135">
        <v>2</v>
      </c>
      <c r="AE85" s="135">
        <v>3</v>
      </c>
      <c r="AF85" s="39">
        <v>12.1</v>
      </c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4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6.1488307892172429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99999999999999" x14ac:dyDescent="0.35">
      <c r="A88" s="60">
        <f>Лист1!O$3</f>
        <v>11.2</v>
      </c>
      <c r="B88" s="13">
        <f>Лист1!O$14</f>
        <v>404.57335498538481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1.303436056874111</v>
      </c>
      <c r="D88" s="15">
        <f>C88-E88</f>
        <v>1.303436056874111</v>
      </c>
      <c r="E88" s="32">
        <f t="shared" si="7"/>
        <v>0</v>
      </c>
      <c r="F88" s="78">
        <v>109.9</v>
      </c>
      <c r="G88" s="79">
        <v>97.8</v>
      </c>
      <c r="H88" s="79">
        <v>97.8</v>
      </c>
      <c r="I88" s="79">
        <v>103.15994262695313</v>
      </c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408.65994262695313</v>
      </c>
      <c r="X88" s="135">
        <v>33</v>
      </c>
      <c r="Y88" s="135">
        <v>3</v>
      </c>
      <c r="Z88" s="39">
        <v>42.659942626953125</v>
      </c>
      <c r="AA88" s="39">
        <v>32.340057373046875</v>
      </c>
      <c r="AB88" s="135">
        <v>3</v>
      </c>
      <c r="AC88" s="135">
        <v>3</v>
      </c>
      <c r="AD88" s="135">
        <v>2</v>
      </c>
      <c r="AE88" s="135">
        <v>3</v>
      </c>
      <c r="AF88" s="39">
        <v>24.2</v>
      </c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4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1.273354985384799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99999999999999" x14ac:dyDescent="0.35">
      <c r="A91" s="60">
        <f>Лист1!P$3</f>
        <v>11.4</v>
      </c>
      <c r="B91" s="13">
        <f>Лист1!P$14</f>
        <v>411.79787918155239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9.6620017165507527E-2</v>
      </c>
      <c r="D91" s="15">
        <f>C91-E91</f>
        <v>9.6620017165507527E-2</v>
      </c>
      <c r="E91" s="32">
        <f t="shared" si="7"/>
        <v>0</v>
      </c>
      <c r="F91" s="78">
        <v>109.9</v>
      </c>
      <c r="G91" s="79">
        <v>109.9</v>
      </c>
      <c r="H91" s="79">
        <v>97.8</v>
      </c>
      <c r="I91" s="79">
        <v>98.357458496093727</v>
      </c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415.95745849609375</v>
      </c>
      <c r="X91" s="135">
        <v>34</v>
      </c>
      <c r="Y91" s="135">
        <v>3</v>
      </c>
      <c r="Z91" s="39">
        <v>49.95745849609375</v>
      </c>
      <c r="AA91" s="39">
        <v>25.04254150390625</v>
      </c>
      <c r="AB91" s="135">
        <v>3</v>
      </c>
      <c r="AC91" s="135">
        <v>3</v>
      </c>
      <c r="AD91" s="135">
        <v>2</v>
      </c>
      <c r="AE91" s="135">
        <v>3</v>
      </c>
      <c r="AF91" s="39">
        <v>12.1</v>
      </c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4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-3.6021208184475881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99999999999999" x14ac:dyDescent="0.35">
      <c r="A94" s="60">
        <f>Лист1!Q$3</f>
        <v>11.6</v>
      </c>
      <c r="B94" s="27">
        <f>Лист1!Q$14</f>
        <v>419.02240337771997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1.8190920858350661</v>
      </c>
      <c r="D94" s="15">
        <f>C94-E94</f>
        <v>0.95460289658886666</v>
      </c>
      <c r="E94" s="32">
        <f t="shared" si="7"/>
        <v>0.86448918924619944</v>
      </c>
      <c r="F94" s="85">
        <v>109.9</v>
      </c>
      <c r="G94" s="82">
        <v>109.9</v>
      </c>
      <c r="H94" s="82">
        <v>97.8</v>
      </c>
      <c r="I94" s="82">
        <v>105.65494384765623</v>
      </c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423.25494384765625</v>
      </c>
      <c r="X94" s="135">
        <v>34</v>
      </c>
      <c r="Y94" s="135">
        <v>3</v>
      </c>
      <c r="Z94" s="39">
        <v>57.25494384765625</v>
      </c>
      <c r="AA94" s="39">
        <v>17.74505615234375</v>
      </c>
      <c r="AB94" s="135">
        <v>2</v>
      </c>
      <c r="AC94" s="135">
        <v>3</v>
      </c>
      <c r="AD94" s="135">
        <v>2</v>
      </c>
      <c r="AE94" s="135">
        <v>3</v>
      </c>
      <c r="AF94" s="39">
        <v>24.2</v>
      </c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4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3.6224033777199907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99999999999999" x14ac:dyDescent="0.35">
      <c r="A97" s="60">
        <f>Лист1!R$3</f>
        <v>11.8</v>
      </c>
      <c r="B97" s="13">
        <f>Лист1!R$14</f>
        <v>426.2469275738876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0.64444513172741602</v>
      </c>
      <c r="D97" s="15">
        <f>C97-E97</f>
        <v>0.64444513172741602</v>
      </c>
      <c r="E97" s="32">
        <f t="shared" si="7"/>
        <v>0</v>
      </c>
      <c r="F97" s="78">
        <v>109.9</v>
      </c>
      <c r="G97" s="79">
        <v>109.9</v>
      </c>
      <c r="H97" s="79">
        <v>109.9</v>
      </c>
      <c r="I97" s="79">
        <v>100.85245971679683</v>
      </c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430.55245971679688</v>
      </c>
      <c r="X97" s="135">
        <v>35</v>
      </c>
      <c r="Y97" s="135">
        <v>3</v>
      </c>
      <c r="Z97" s="39">
        <v>64.552459716796875</v>
      </c>
      <c r="AA97" s="39">
        <v>10.447540283203125</v>
      </c>
      <c r="AB97" s="135">
        <v>1</v>
      </c>
      <c r="AC97" s="135">
        <v>3</v>
      </c>
      <c r="AD97" s="135">
        <v>1</v>
      </c>
      <c r="AE97" s="135">
        <v>3</v>
      </c>
      <c r="AF97" s="39">
        <v>24.2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-1.2530724261123964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99999999999999" x14ac:dyDescent="0.35">
      <c r="A100" s="60">
        <f>Лист1!S$3</f>
        <v>12</v>
      </c>
      <c r="B100" s="13">
        <f>Лист1!S$14</f>
        <v>433.47145177005518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2.3003710461986242</v>
      </c>
      <c r="D100" s="15">
        <f>C100-E100</f>
        <v>0.92278280003590463</v>
      </c>
      <c r="E100" s="32">
        <f t="shared" si="7"/>
        <v>1.3775882461627196</v>
      </c>
      <c r="F100" s="88">
        <v>122</v>
      </c>
      <c r="G100" s="88">
        <v>109.9</v>
      </c>
      <c r="H100" s="88">
        <v>109.9</v>
      </c>
      <c r="I100" s="88">
        <v>96.049945068359364</v>
      </c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437.84994506835938</v>
      </c>
      <c r="X100" s="135">
        <v>36</v>
      </c>
      <c r="Y100" s="135">
        <v>3</v>
      </c>
      <c r="Z100" s="39">
        <v>71.849945068359375</v>
      </c>
      <c r="AA100" s="141">
        <v>3.150054931640625</v>
      </c>
      <c r="AB100" s="135">
        <v>1</v>
      </c>
      <c r="AC100" s="135">
        <v>3</v>
      </c>
      <c r="AD100" s="135">
        <v>1</v>
      </c>
      <c r="AE100" s="135">
        <v>2</v>
      </c>
      <c r="AF100" s="39">
        <v>12.1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4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5.9714517700551824</v>
      </c>
      <c r="E101" s="129">
        <f>B100</f>
        <v>433.47145177005518</v>
      </c>
      <c r="F101" s="20">
        <f>C101-F100</f>
        <v>-118</v>
      </c>
      <c r="G101" s="26">
        <f t="shared" ref="G101:M101" si="8">F101-G100</f>
        <v>-227.9</v>
      </c>
      <c r="H101" s="26">
        <f t="shared" si="8"/>
        <v>-337.8</v>
      </c>
      <c r="I101" s="26">
        <f t="shared" si="8"/>
        <v>-433.84994506835938</v>
      </c>
      <c r="J101" s="26">
        <f t="shared" si="8"/>
        <v>-433.84994506835938</v>
      </c>
      <c r="K101" s="26">
        <f t="shared" si="8"/>
        <v>-433.84994506835938</v>
      </c>
      <c r="L101" s="26">
        <f t="shared" si="8"/>
        <v>-433.84994506835938</v>
      </c>
      <c r="M101" s="26">
        <f t="shared" si="8"/>
        <v>-433.84994506835938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8.8733771026870905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2.5310634748081347</v>
      </c>
      <c r="D103" s="31">
        <f>AVERAGE(D61,D64,D67,D70,D73,D76,D79,D82,D85,D88,D91,D94,D97,D100,)</f>
        <v>0.96692454786579229</v>
      </c>
      <c r="E103" s="31">
        <f>AVERAGE(E61,E64,E67,E70,E73,E76,E79,E82,E85,E88,E91,E94,E97,E100,)</f>
        <v>1.5641389269423425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95" x14ac:dyDescent="0.3">
      <c r="B104" s="30"/>
      <c r="C104" s="31"/>
      <c r="D104" s="31"/>
      <c r="E104" s="31"/>
      <c r="V104" s="38"/>
      <c r="W104" s="40"/>
    </row>
    <row r="105" spans="1:35" ht="16.95" x14ac:dyDescent="0.3">
      <c r="B105" s="30"/>
      <c r="C105" s="31"/>
      <c r="D105" s="31"/>
      <c r="E105" s="31"/>
      <c r="V105" s="38"/>
      <c r="W105" s="40"/>
    </row>
    <row r="106" spans="1:35" ht="16.95" x14ac:dyDescent="0.3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99999999999999" x14ac:dyDescent="0.35">
      <c r="A111" s="60">
        <f>Лист1!F$3</f>
        <v>7</v>
      </c>
      <c r="B111" s="13">
        <f>Лист1!F$14</f>
        <v>252.85834686586551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9.0795289736052442</v>
      </c>
      <c r="D111" s="15">
        <f>C111-E111</f>
        <v>1.1864350286175913</v>
      </c>
      <c r="E111" s="32">
        <f>IF(D112 &gt; $D$110,D112/$B111*100,0)</f>
        <v>7.8930939449876529</v>
      </c>
      <c r="F111" s="120">
        <v>95</v>
      </c>
      <c r="G111" s="121">
        <v>95</v>
      </c>
      <c r="H111" s="121">
        <v>65.4124755859375</v>
      </c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 t="s">
        <v>71</v>
      </c>
      <c r="W111" s="17">
        <f>SUM(F111:T111)</f>
        <v>255.4124755859375</v>
      </c>
      <c r="X111" s="96">
        <v>21</v>
      </c>
      <c r="Y111" s="96">
        <v>2</v>
      </c>
      <c r="Z111" s="39">
        <v>11.4124755859375</v>
      </c>
      <c r="AA111" s="97">
        <v>83.5875244140625</v>
      </c>
      <c r="AB111" s="135">
        <v>7</v>
      </c>
      <c r="AC111" s="135">
        <v>2</v>
      </c>
      <c r="AD111" s="135">
        <v>4</v>
      </c>
      <c r="AE111" s="135">
        <v>2</v>
      </c>
    </row>
    <row r="112" spans="1:35" ht="16.95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3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19.958346865865508</v>
      </c>
      <c r="E112" s="129">
        <f>B111</f>
        <v>252.85834686586551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95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6.8831500514012545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99999999999999" x14ac:dyDescent="0.35">
      <c r="A114" s="60">
        <f>Лист1!G$3</f>
        <v>7.5</v>
      </c>
      <c r="B114" s="13">
        <f>Лист1!G$14</f>
        <v>270.91965735628446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10.674624956524447</v>
      </c>
      <c r="D114" s="15">
        <f>C114-E114</f>
        <v>1.1073393600430848</v>
      </c>
      <c r="E114" s="32">
        <f>IF(D115 &gt; $D$110,D115/$B114*100,0)</f>
        <v>9.5672855964813621</v>
      </c>
      <c r="F114" s="120">
        <v>95</v>
      </c>
      <c r="G114" s="121">
        <v>95</v>
      </c>
      <c r="H114" s="121">
        <v>83.656219482421875</v>
      </c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 t="s">
        <v>71</v>
      </c>
      <c r="W114" s="17">
        <f>SUM(F114:T114)</f>
        <v>273.65621948242188</v>
      </c>
      <c r="X114" s="96">
        <v>22</v>
      </c>
      <c r="Y114" s="96">
        <v>2</v>
      </c>
      <c r="Z114" s="39">
        <v>29.656219482421875</v>
      </c>
      <c r="AA114" s="97">
        <v>65.343780517578125</v>
      </c>
      <c r="AB114" s="135">
        <v>6</v>
      </c>
      <c r="AC114" s="135">
        <v>2</v>
      </c>
      <c r="AD114" s="135">
        <v>3</v>
      </c>
      <c r="AE114" s="135">
        <v>2</v>
      </c>
      <c r="AF114" s="39"/>
    </row>
    <row r="115" spans="1:32" s="12" customFormat="1" ht="16.95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3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25.919657356284461</v>
      </c>
      <c r="E115" s="129">
        <f>B114</f>
        <v>270.91965735628446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7.3807068142227124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99999999999999" x14ac:dyDescent="0.35">
      <c r="A117" s="60">
        <f>Лист1!H$3</f>
        <v>8</v>
      </c>
      <c r="B117" s="13">
        <f>Лист1!H$14</f>
        <v>288.98096784670344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12.070333941578758</v>
      </c>
      <c r="D117" s="15">
        <f>C117-E117</f>
        <v>1.038130650040392</v>
      </c>
      <c r="E117" s="32">
        <f>IF(D118 &gt; $D$110,D118/$B117*100,0)</f>
        <v>11.032203291538366</v>
      </c>
      <c r="F117" s="120">
        <v>97.29998779296875</v>
      </c>
      <c r="G117" s="121">
        <v>97.29998779296875</v>
      </c>
      <c r="H117" s="121">
        <v>97.29998779296875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 t="s">
        <v>70</v>
      </c>
      <c r="W117" s="17">
        <f>SUM(F117:T117)</f>
        <v>291.89996337890625</v>
      </c>
      <c r="X117" s="96">
        <v>24</v>
      </c>
      <c r="Y117" s="96">
        <v>2</v>
      </c>
      <c r="Z117" s="39">
        <v>47.89996337890625</v>
      </c>
      <c r="AA117" s="97">
        <v>47.10003662109375</v>
      </c>
      <c r="AB117" s="135">
        <v>4</v>
      </c>
      <c r="AC117" s="135">
        <v>2</v>
      </c>
      <c r="AD117" s="135">
        <v>3</v>
      </c>
      <c r="AE117" s="135">
        <v>2</v>
      </c>
      <c r="AF117" s="39">
        <v>12.1</v>
      </c>
    </row>
    <row r="118" spans="1:32" s="12" customFormat="1" ht="16.95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31.880967846703442</v>
      </c>
      <c r="E118" s="129">
        <f>B117</f>
        <v>288.98096784670344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7.878263577044172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99999999999999" x14ac:dyDescent="0.35">
      <c r="A120" s="60">
        <f>Лист1!I$3</f>
        <v>8.5</v>
      </c>
      <c r="B120" s="13">
        <f>Лист1!I$14</f>
        <v>307.04227833712241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1.479365760872559</v>
      </c>
      <c r="D120" s="15">
        <f>C120-E120</f>
        <v>1.479365760872559</v>
      </c>
      <c r="E120" s="32">
        <f>IF(D121 &gt; $D$110,D121/$B120*100,0)</f>
        <v>0</v>
      </c>
      <c r="F120" s="120">
        <v>97.8</v>
      </c>
      <c r="G120" s="121">
        <v>97.8</v>
      </c>
      <c r="H120" s="121">
        <v>114.54370727539063</v>
      </c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310.14370727539063</v>
      </c>
      <c r="X120" s="96">
        <v>25</v>
      </c>
      <c r="Y120" s="96">
        <v>2</v>
      </c>
      <c r="Z120" s="39">
        <v>66.143707275390625</v>
      </c>
      <c r="AA120" s="97">
        <v>28.856292724609375</v>
      </c>
      <c r="AB120" s="135">
        <v>3</v>
      </c>
      <c r="AC120" s="135">
        <v>2</v>
      </c>
      <c r="AD120" s="135">
        <v>2</v>
      </c>
      <c r="AE120" s="135">
        <v>2</v>
      </c>
      <c r="AF120" s="39">
        <v>12.1</v>
      </c>
    </row>
    <row r="121" spans="1:32" s="12" customFormat="1" ht="16.95" hidden="1" x14ac:dyDescent="0.3">
      <c r="A121" s="58"/>
      <c r="B121" s="201"/>
      <c r="C121" s="19">
        <f>$C$108*
(SIGN($F120)+SIGN($G120)+SIGN($H120)+SIGN($I120)
+SIGN($J120)+SIGN($K120)+SIGN($L120)+SIGN($M120)
+SIGN($N120)+SIGN($O120)+SIGN($P120)+SIGN($Q120)
+SIGN($R120)+SIGN($S120)+SIGN($T120))</f>
        <v>3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1.5422783371224114</v>
      </c>
      <c r="E121" s="129">
        <f>B120</f>
        <v>307.04227833712241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201"/>
      <c r="C122" s="22"/>
      <c r="D122" s="22"/>
      <c r="E122" s="22">
        <f>IF(B120&gt;0,(B120/ROUNDUP(ROUNDUP(((B120-($C$108*ROUNDUP(B120/$H$108,0)))/$C$107),0)/$H$107,0)-$C$108)/$C$107,0-$C$108/$C$107)</f>
        <v>8.3758203398656317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99999999999999" x14ac:dyDescent="0.35">
      <c r="A123" s="60">
        <f>Лист1!J$3</f>
        <v>9</v>
      </c>
      <c r="B123" s="13">
        <f>Лист1!J$14</f>
        <v>325.10358882754139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3.2308437029015051</v>
      </c>
      <c r="D123" s="15">
        <f>C123-E123</f>
        <v>0.92278280003590485</v>
      </c>
      <c r="E123" s="32">
        <f>IF(D124 &gt; $D$110,D124/$B123*100,0)</f>
        <v>2.3080609028656003</v>
      </c>
      <c r="F123" s="78">
        <v>109.9</v>
      </c>
      <c r="G123" s="79">
        <v>109.9</v>
      </c>
      <c r="H123" s="79">
        <v>108.58745117187499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/>
      <c r="W123" s="17">
        <f>SUM(F123:T123)</f>
        <v>328.387451171875</v>
      </c>
      <c r="X123" s="135">
        <v>27</v>
      </c>
      <c r="Y123" s="135">
        <v>2</v>
      </c>
      <c r="Z123" s="39">
        <v>84.387451171875</v>
      </c>
      <c r="AA123" s="39">
        <v>10.612548828125</v>
      </c>
      <c r="AB123" s="135">
        <v>1</v>
      </c>
      <c r="AC123" s="135">
        <v>2</v>
      </c>
      <c r="AD123" s="135">
        <v>1</v>
      </c>
      <c r="AE123" s="135">
        <v>2</v>
      </c>
      <c r="AF123" s="39">
        <v>12.1</v>
      </c>
    </row>
    <row r="124" spans="1:32" s="12" customFormat="1" ht="16.95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7.5035888275414209</v>
      </c>
      <c r="E124" s="129">
        <f>B123</f>
        <v>325.10358882754139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8.8733771026870905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99999999999999" x14ac:dyDescent="0.35">
      <c r="A126" s="60">
        <f>Лист1!K$3</f>
        <v>9.5</v>
      </c>
      <c r="B126" s="13">
        <f>Лист1!K$14</f>
        <v>343.16489931796031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1.2719538993164874</v>
      </c>
      <c r="D126" s="15">
        <f>C126-E126</f>
        <v>1.2719538993164874</v>
      </c>
      <c r="E126" s="32">
        <f>IF(D127 &gt; $D$110,D127/$B126*100,0)</f>
        <v>0</v>
      </c>
      <c r="F126" s="78">
        <v>122</v>
      </c>
      <c r="G126" s="79">
        <v>109.9</v>
      </c>
      <c r="H126" s="79">
        <v>114.73122558593749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346.6312255859375</v>
      </c>
      <c r="X126" s="135">
        <v>28</v>
      </c>
      <c r="Y126" s="135">
        <v>2</v>
      </c>
      <c r="Z126" s="39">
        <v>102.6312255859375</v>
      </c>
      <c r="AA126" s="39"/>
      <c r="AB126" s="135"/>
      <c r="AC126" s="135">
        <v>2</v>
      </c>
      <c r="AD126" s="135">
        <v>1</v>
      </c>
      <c r="AE126" s="135">
        <v>1</v>
      </c>
      <c r="AF126" s="39">
        <v>12.1</v>
      </c>
    </row>
    <row r="127" spans="1:32" s="12" customFormat="1" ht="16.95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1.364899317960294</v>
      </c>
      <c r="E127" s="129">
        <f>B126</f>
        <v>343.16489931796031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9.3709338655085492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99999999999999" x14ac:dyDescent="0.35">
      <c r="A129" s="60">
        <f>Лист1!L$3</f>
        <v>10</v>
      </c>
      <c r="B129" s="13">
        <f>Лист1!L$14</f>
        <v>361.22620980837928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2.8586546402203425</v>
      </c>
      <c r="D129" s="15">
        <f>C129-E129</f>
        <v>0.83050452003231401</v>
      </c>
      <c r="E129" s="32">
        <f>IF(D130 &gt; $D$110,D130/$B129*100,0)</f>
        <v>2.0281501201880285</v>
      </c>
      <c r="F129" s="78">
        <v>122</v>
      </c>
      <c r="G129" s="79">
        <v>122</v>
      </c>
      <c r="H129" s="79">
        <v>120.87496948242188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364.87496948242188</v>
      </c>
      <c r="X129" s="135">
        <v>30</v>
      </c>
      <c r="Y129" s="135">
        <v>2</v>
      </c>
      <c r="Z129" s="39">
        <v>120.87496948242188</v>
      </c>
      <c r="AA129" s="39"/>
      <c r="AB129" s="135"/>
      <c r="AC129" s="135"/>
      <c r="AD129" s="135"/>
      <c r="AE129" s="135"/>
      <c r="AF129" s="39"/>
    </row>
    <row r="130" spans="1:32" s="12" customFormat="1" ht="18.899999999999999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7.3262098083793035</v>
      </c>
      <c r="E130" s="129">
        <f>B129</f>
        <v>361.22620980837928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9.868490628330008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99999999999999" x14ac:dyDescent="0.35">
      <c r="A132" s="60">
        <f>Лист1!M$3</f>
        <v>10.5</v>
      </c>
      <c r="B132" s="13">
        <f>Лист1!M$14</f>
        <v>379.28752029879826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10.674624956524447</v>
      </c>
      <c r="D132" s="15">
        <f>C132-E132</f>
        <v>1.0546089143267476</v>
      </c>
      <c r="E132" s="32">
        <f>IF(D133 &gt; $D$110,D133/$B132*100,0)</f>
        <v>9.6200160421976992</v>
      </c>
      <c r="F132" s="78">
        <v>95.779678344726563</v>
      </c>
      <c r="G132" s="79">
        <v>95.779678344726563</v>
      </c>
      <c r="H132" s="79">
        <v>95.779678344726563</v>
      </c>
      <c r="I132" s="79">
        <v>95.779678344726563</v>
      </c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 t="s">
        <v>70</v>
      </c>
      <c r="W132" s="17">
        <f>SUM(F132:T132)</f>
        <v>383.11871337890625</v>
      </c>
      <c r="X132" s="135">
        <v>31</v>
      </c>
      <c r="Y132" s="135">
        <v>3</v>
      </c>
      <c r="Z132" s="39">
        <v>17.11871337890625</v>
      </c>
      <c r="AA132" s="39">
        <v>77.88128662109375</v>
      </c>
      <c r="AB132" s="135">
        <v>7</v>
      </c>
      <c r="AC132" s="135">
        <v>2</v>
      </c>
      <c r="AD132" s="135">
        <v>4</v>
      </c>
      <c r="AE132" s="135">
        <v>3</v>
      </c>
      <c r="AF132" s="39"/>
    </row>
    <row r="133" spans="1:32" s="12" customFormat="1" ht="18.899999999999999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4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36.487520298798245</v>
      </c>
      <c r="E133" s="129">
        <f>B132</f>
        <v>379.28752029879826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7.7538743863388069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99999999999999" x14ac:dyDescent="0.35">
      <c r="A135" s="60">
        <f>Лист1!N$3</f>
        <v>11</v>
      </c>
      <c r="B135" s="13">
        <f>Лист1!N$14</f>
        <v>397.34883078921723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2.554136316208496</v>
      </c>
      <c r="D135" s="15">
        <f>C135-E135</f>
        <v>1.006672145493714</v>
      </c>
      <c r="E135" s="32">
        <f>IF(D136 &gt; $D$110,D136/$B135*100,0)</f>
        <v>1.547464170714782</v>
      </c>
      <c r="F135" s="78">
        <v>97.8</v>
      </c>
      <c r="G135" s="79">
        <v>97.8</v>
      </c>
      <c r="H135" s="79">
        <v>97.8</v>
      </c>
      <c r="I135" s="79">
        <v>107.96245727539065</v>
      </c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401.36245727539063</v>
      </c>
      <c r="X135" s="135">
        <v>33</v>
      </c>
      <c r="Y135" s="135">
        <v>3</v>
      </c>
      <c r="Z135" s="39">
        <v>35.362457275390625</v>
      </c>
      <c r="AA135" s="39">
        <v>59.637542724609375</v>
      </c>
      <c r="AB135" s="135">
        <v>5</v>
      </c>
      <c r="AC135" s="135">
        <v>2</v>
      </c>
      <c r="AD135" s="135">
        <v>3</v>
      </c>
      <c r="AE135" s="135">
        <v>3</v>
      </c>
      <c r="AF135" s="39">
        <v>12.1</v>
      </c>
    </row>
    <row r="136" spans="1:32" s="12" customFormat="1" ht="18.899999999999999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4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6.1488307892172429</v>
      </c>
      <c r="E136" s="129">
        <f>B135</f>
        <v>397.34883078921723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8.1270419584549014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99999999999999" x14ac:dyDescent="0.35">
      <c r="A138" s="60">
        <f>Лист1!O$3</f>
        <v>11.2</v>
      </c>
      <c r="B138" s="13">
        <f>Лист1!O$14</f>
        <v>404.57335498538481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1.303436056874111</v>
      </c>
      <c r="D138" s="15">
        <f>C138-E138</f>
        <v>1.303436056874111</v>
      </c>
      <c r="E138" s="32">
        <f>IF(D139 &gt; $D$110,D139/$B138*100,0)</f>
        <v>0</v>
      </c>
      <c r="F138" s="78">
        <v>97.8</v>
      </c>
      <c r="G138" s="79">
        <v>97.8</v>
      </c>
      <c r="H138" s="79">
        <v>97.8</v>
      </c>
      <c r="I138" s="79">
        <v>115.25994262695315</v>
      </c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408.65994262695313</v>
      </c>
      <c r="X138" s="135">
        <v>33</v>
      </c>
      <c r="Y138" s="135">
        <v>3</v>
      </c>
      <c r="Z138" s="39">
        <v>42.659942626953125</v>
      </c>
      <c r="AA138" s="39">
        <v>52.340057373046875</v>
      </c>
      <c r="AB138" s="135">
        <v>5</v>
      </c>
      <c r="AC138" s="135">
        <v>2</v>
      </c>
      <c r="AD138" s="135">
        <v>3</v>
      </c>
      <c r="AE138" s="135">
        <v>3</v>
      </c>
      <c r="AF138" s="39">
        <v>12.1</v>
      </c>
    </row>
    <row r="139" spans="1:32" s="12" customFormat="1" ht="18.899999999999999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4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1.273354985384799</v>
      </c>
      <c r="E139" s="129">
        <f>B138</f>
        <v>404.57335498538481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8.2763089873013396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99999999999999" x14ac:dyDescent="0.35">
      <c r="A141" s="60">
        <f>Лист1!P$3</f>
        <v>11.4</v>
      </c>
      <c r="B141" s="13">
        <f>Лист1!P$14</f>
        <v>411.79787918155239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9.6620017165507527E-2</v>
      </c>
      <c r="D141" s="15">
        <f>C141-E141</f>
        <v>9.6620017165507527E-2</v>
      </c>
      <c r="E141" s="32">
        <f>IF(D142 &gt; $D$110,D142/$B141*100,0)</f>
        <v>0</v>
      </c>
      <c r="F141" s="78">
        <v>109.9</v>
      </c>
      <c r="G141" s="79">
        <v>97.8</v>
      </c>
      <c r="H141" s="79">
        <v>97.8</v>
      </c>
      <c r="I141" s="79">
        <v>110.45745849609375</v>
      </c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415.95745849609375</v>
      </c>
      <c r="X141" s="135">
        <v>34</v>
      </c>
      <c r="Y141" s="135">
        <v>3</v>
      </c>
      <c r="Z141" s="39">
        <v>49.95745849609375</v>
      </c>
      <c r="AA141" s="39">
        <v>45.04254150390625</v>
      </c>
      <c r="AB141" s="135">
        <v>4</v>
      </c>
      <c r="AC141" s="135">
        <v>2</v>
      </c>
      <c r="AD141" s="135">
        <v>3</v>
      </c>
      <c r="AE141" s="135">
        <v>3</v>
      </c>
      <c r="AF141" s="39">
        <v>12.1</v>
      </c>
    </row>
    <row r="142" spans="1:32" s="12" customFormat="1" ht="18.899999999999999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4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-3.6021208184475881</v>
      </c>
      <c r="E142" s="129">
        <f>B141</f>
        <v>411.79787918155239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8.4255760161477777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99999999999999" x14ac:dyDescent="0.35">
      <c r="A144" s="60">
        <f>Лист1!Q$3</f>
        <v>11.6</v>
      </c>
      <c r="B144" s="27">
        <f>Лист1!Q$14</f>
        <v>419.02240337771997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1.8190920858350661</v>
      </c>
      <c r="D144" s="15">
        <f>C144-E144</f>
        <v>0.95460289658886666</v>
      </c>
      <c r="E144" s="32">
        <f>IF(D145 &gt; $D$110,D145/$B144*100,0)</f>
        <v>0.86448918924619944</v>
      </c>
      <c r="F144" s="85">
        <v>109.9</v>
      </c>
      <c r="G144" s="82">
        <v>109.9</v>
      </c>
      <c r="H144" s="82">
        <v>97.8</v>
      </c>
      <c r="I144" s="82">
        <v>105.65494384765623</v>
      </c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423.25494384765625</v>
      </c>
      <c r="X144" s="135">
        <v>34</v>
      </c>
      <c r="Y144" s="135">
        <v>3</v>
      </c>
      <c r="Z144" s="39">
        <v>57.25494384765625</v>
      </c>
      <c r="AA144" s="39">
        <v>37.74505615234375</v>
      </c>
      <c r="AB144" s="135">
        <v>4</v>
      </c>
      <c r="AC144" s="135">
        <v>2</v>
      </c>
      <c r="AD144" s="135">
        <v>2</v>
      </c>
      <c r="AE144" s="135">
        <v>3</v>
      </c>
      <c r="AF144" s="39"/>
    </row>
    <row r="145" spans="1:32" s="12" customFormat="1" ht="18.899999999999999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4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3.6224033777199907</v>
      </c>
      <c r="E145" s="129">
        <f>B144</f>
        <v>419.02240337771997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8.5748430449942141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99999999999999" x14ac:dyDescent="0.35">
      <c r="A147" s="60">
        <f>Лист1!R$3</f>
        <v>11.8</v>
      </c>
      <c r="B147" s="13">
        <f>Лист1!R$14</f>
        <v>426.2469275738876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0.64444513172741602</v>
      </c>
      <c r="D147" s="15">
        <f>C147-E147</f>
        <v>0.64444513172741602</v>
      </c>
      <c r="E147" s="32">
        <f>IF(D148 &gt; $D$110,D148/$B147*100,0)</f>
        <v>0</v>
      </c>
      <c r="F147" s="78">
        <v>109.9</v>
      </c>
      <c r="G147" s="79">
        <v>109.9</v>
      </c>
      <c r="H147" s="79">
        <v>97.8</v>
      </c>
      <c r="I147" s="79">
        <v>112.95245971679685</v>
      </c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430.55245971679688</v>
      </c>
      <c r="X147" s="135">
        <v>35</v>
      </c>
      <c r="Y147" s="135">
        <v>3</v>
      </c>
      <c r="Z147" s="39">
        <v>64.552459716796875</v>
      </c>
      <c r="AA147" s="39">
        <v>30.447540283203125</v>
      </c>
      <c r="AB147" s="135">
        <v>3</v>
      </c>
      <c r="AC147" s="135">
        <v>2</v>
      </c>
      <c r="AD147" s="135">
        <v>2</v>
      </c>
      <c r="AE147" s="135">
        <v>3</v>
      </c>
      <c r="AF147" s="39">
        <v>12.1</v>
      </c>
    </row>
    <row r="148" spans="1:32" s="12" customFormat="1" ht="18.899999999999999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-1.2530724261123964</v>
      </c>
      <c r="E148" s="129">
        <f>B147</f>
        <v>426.2469275738876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8.7241100738406541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99999999999999" x14ac:dyDescent="0.35">
      <c r="A150" s="60">
        <f>Лист1!S$3</f>
        <v>12</v>
      </c>
      <c r="B150" s="13">
        <f>Лист1!S$14</f>
        <v>433.47145177005518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2.3003710461986242</v>
      </c>
      <c r="D150" s="15">
        <f>C150-E150</f>
        <v>0.92278280003590463</v>
      </c>
      <c r="E150" s="32">
        <f>IF(D151 &gt; $D$110,D151/$B150*100,0)</f>
        <v>1.3775882461627196</v>
      </c>
      <c r="F150" s="87">
        <v>109.9</v>
      </c>
      <c r="G150" s="88">
        <v>109.9</v>
      </c>
      <c r="H150" s="88">
        <v>109.9</v>
      </c>
      <c r="I150" s="88">
        <v>108.14994506835933</v>
      </c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437.84994506835938</v>
      </c>
      <c r="X150" s="135">
        <v>36</v>
      </c>
      <c r="Y150" s="135">
        <v>3</v>
      </c>
      <c r="Z150" s="39">
        <v>71.849945068359375</v>
      </c>
      <c r="AA150" s="141">
        <v>23.150054931640625</v>
      </c>
      <c r="AB150" s="135">
        <v>2</v>
      </c>
      <c r="AC150" s="135">
        <v>2</v>
      </c>
      <c r="AD150" s="135">
        <v>2</v>
      </c>
      <c r="AE150" s="135">
        <v>3</v>
      </c>
      <c r="AF150" s="39">
        <v>12.1</v>
      </c>
    </row>
    <row r="151" spans="1:32" s="12" customFormat="1" ht="16.9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5.9714517700551824</v>
      </c>
      <c r="E151" s="129">
        <f>B150</f>
        <v>433.47145177005518</v>
      </c>
      <c r="F151" s="20">
        <f>C151-F150</f>
        <v>-105.9</v>
      </c>
      <c r="G151" s="26">
        <f t="shared" ref="G151:M151" si="11">F151-G150</f>
        <v>-215.8</v>
      </c>
      <c r="H151" s="26">
        <f t="shared" si="11"/>
        <v>-325.70000000000005</v>
      </c>
      <c r="I151" s="26">
        <f t="shared" si="11"/>
        <v>-433.84994506835938</v>
      </c>
      <c r="J151" s="26">
        <f t="shared" si="11"/>
        <v>-433.84994506835938</v>
      </c>
      <c r="K151" s="26">
        <f t="shared" si="11"/>
        <v>-433.84994506835938</v>
      </c>
      <c r="L151" s="26">
        <f t="shared" si="11"/>
        <v>-433.84994506835938</v>
      </c>
      <c r="M151" s="26">
        <f t="shared" si="11"/>
        <v>-433.84994506835938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8.8733771026870905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4.0038687657035341</v>
      </c>
      <c r="D153" s="31">
        <f>AVERAGE(D111,D114,D117,D120,D123,D126,D129,D132,D135,D138,D141,D144,D147,D150,)</f>
        <v>0.92131199874470648</v>
      </c>
      <c r="E153" s="31">
        <f>AVERAGE(E111,E114,E117,E120,E123,E126,E129,E132,E135,E138,E141,E144,E147,E150,)</f>
        <v>3.082556766958827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3"/>
  <dimension ref="A1:AI153"/>
  <sheetViews>
    <sheetView topLeftCell="A4" workbookViewId="0">
      <selection activeCell="B5" sqref="B5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17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Лист1!F$15</f>
        <v>220.27184891781013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1.1221810367299674</v>
      </c>
      <c r="D11" s="15">
        <f>C11-E11</f>
        <v>1.1221810367299674</v>
      </c>
      <c r="E11" s="32">
        <f>IF(D12 &gt; $D$10,D12/$B11*100,0)</f>
        <v>0</v>
      </c>
      <c r="F11" s="78">
        <v>122</v>
      </c>
      <c r="G11" s="79">
        <v>100.49681091308594</v>
      </c>
      <c r="H11" s="79"/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222.49681091308594</v>
      </c>
      <c r="X11" s="96">
        <v>18</v>
      </c>
      <c r="Y11" s="96">
        <v>1</v>
      </c>
      <c r="Z11" s="39">
        <v>100.49681091308594</v>
      </c>
      <c r="AA11" s="97"/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2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0.47184891781014926</v>
      </c>
      <c r="E12" s="129">
        <f>B11</f>
        <v>220.27184891781013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9.0194978891657076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Лист1!G$15</f>
        <v>236.00555241193945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2.587037613963596</v>
      </c>
      <c r="D14" s="15">
        <f>C14-E14</f>
        <v>0.84743768930871166</v>
      </c>
      <c r="E14" s="32">
        <f t="shared" ref="E14:E50" si="2">IF(D15 &gt; $D$10,D15/$B14*100,0)</f>
        <v>1.7395999246548843</v>
      </c>
      <c r="F14" s="78">
        <v>122</v>
      </c>
      <c r="G14" s="79">
        <v>116.38945007324219</v>
      </c>
      <c r="H14" s="79"/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238.38945007324219</v>
      </c>
      <c r="X14" s="96">
        <v>19</v>
      </c>
      <c r="Y14" s="96">
        <v>1</v>
      </c>
      <c r="Z14" s="39">
        <v>116.38945007324219</v>
      </c>
      <c r="AA14" s="97"/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+SIGN($R14)+SIGN($S14)+SIGN($T14))</f>
        <v>2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4.105552411939442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Лист1!H$15</f>
        <v>251.73925590606873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3.868787119043021</v>
      </c>
      <c r="D17" s="15">
        <f>C17-E17</f>
        <v>1.1917092505903759</v>
      </c>
      <c r="E17" s="32">
        <f t="shared" si="2"/>
        <v>2.6770778684526451</v>
      </c>
      <c r="F17" s="78">
        <v>85.7</v>
      </c>
      <c r="G17" s="79">
        <v>73.599999999999994</v>
      </c>
      <c r="H17" s="79">
        <v>94.982073974609364</v>
      </c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254.28207397460938</v>
      </c>
      <c r="X17" s="96">
        <v>21</v>
      </c>
      <c r="Y17" s="96">
        <v>2</v>
      </c>
      <c r="Z17" s="39">
        <v>10.282073974609375</v>
      </c>
      <c r="AA17" s="97">
        <v>44.717926025390625</v>
      </c>
      <c r="AB17" s="135">
        <v>4</v>
      </c>
      <c r="AC17" s="135">
        <v>5</v>
      </c>
      <c r="AD17" s="135">
        <v>2</v>
      </c>
      <c r="AE17" s="135">
        <v>2</v>
      </c>
      <c r="AF17" s="39">
        <v>36.299999999999997</v>
      </c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+SIGN($R17)+SIGN($S17)+SIGN($T17))</f>
        <v>3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6.7392559060687347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Лист1!I$15</f>
        <v>267.47295940019802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0.47592078206806976</v>
      </c>
      <c r="D20" s="15">
        <f>C20-E20</f>
        <v>0.47592078206806976</v>
      </c>
      <c r="E20" s="32">
        <f t="shared" si="2"/>
        <v>0</v>
      </c>
      <c r="F20" s="78">
        <v>97.8</v>
      </c>
      <c r="G20" s="79">
        <v>85.7</v>
      </c>
      <c r="H20" s="79">
        <v>86.674713134765625</v>
      </c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270.17471313476563</v>
      </c>
      <c r="X20" s="96">
        <v>22</v>
      </c>
      <c r="Y20" s="96">
        <v>2</v>
      </c>
      <c r="Z20" s="39">
        <v>26.174713134765625</v>
      </c>
      <c r="AA20" s="97">
        <v>28.825286865234375</v>
      </c>
      <c r="AB20" s="135">
        <v>3</v>
      </c>
      <c r="AC20" s="135">
        <v>5</v>
      </c>
      <c r="AD20" s="135">
        <v>1</v>
      </c>
      <c r="AE20" s="135">
        <v>2</v>
      </c>
      <c r="AF20" s="39">
        <v>24.2</v>
      </c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+SIGN($R20)+SIGN($S20)+SIGN($T20))</f>
        <v>3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-1.7270405998019669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Лист1!J$15</f>
        <v>283.20666289432734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1.7325379439106434</v>
      </c>
      <c r="D23" s="15">
        <f>C23-E23</f>
        <v>1.7325379439106434</v>
      </c>
      <c r="E23" s="32">
        <f t="shared" si="2"/>
        <v>0</v>
      </c>
      <c r="F23" s="78">
        <v>97.8</v>
      </c>
      <c r="G23" s="79">
        <v>97.8</v>
      </c>
      <c r="H23" s="79">
        <v>90.467321777343756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286.06732177734375</v>
      </c>
      <c r="X23" s="96">
        <v>23</v>
      </c>
      <c r="Y23" s="96">
        <v>2</v>
      </c>
      <c r="Z23" s="39">
        <v>42.06732177734375</v>
      </c>
      <c r="AA23" s="141">
        <v>12.93267822265625</v>
      </c>
      <c r="AB23" s="135">
        <v>2</v>
      </c>
      <c r="AC23" s="135">
        <v>5</v>
      </c>
      <c r="AD23" s="135">
        <v>1</v>
      </c>
      <c r="AE23" s="135">
        <v>2</v>
      </c>
      <c r="AF23" s="39">
        <v>24.2</v>
      </c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1.9066628943273258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Лист1!K$15</f>
        <v>298.9403663884566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2.8568796150329465</v>
      </c>
      <c r="D26" s="15">
        <f>C26-E26</f>
        <v>1.0035446320761061</v>
      </c>
      <c r="E26" s="32">
        <f t="shared" si="2"/>
        <v>1.8533349829568404</v>
      </c>
      <c r="F26" s="78">
        <v>109.9</v>
      </c>
      <c r="G26" s="79">
        <v>97.8</v>
      </c>
      <c r="H26" s="79">
        <v>94.259960937500011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301.9599609375</v>
      </c>
      <c r="X26" s="96">
        <v>24</v>
      </c>
      <c r="Y26" s="96">
        <v>2</v>
      </c>
      <c r="Z26" s="39">
        <v>57.9599609375</v>
      </c>
      <c r="AA26" s="141"/>
      <c r="AB26" s="135"/>
      <c r="AC26" s="135">
        <v>5</v>
      </c>
      <c r="AD26" s="135">
        <v>1</v>
      </c>
      <c r="AE26" s="135">
        <v>2</v>
      </c>
      <c r="AF26" s="39">
        <v>36.299999999999997</v>
      </c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5.5403663884566186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Лист1!L$15</f>
        <v>314.67406988258591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2.3538603804750424E-2</v>
      </c>
      <c r="D29" s="15">
        <f>C29-E29</f>
        <v>2.3538603804750424E-2</v>
      </c>
      <c r="E29" s="32">
        <f t="shared" si="2"/>
        <v>0</v>
      </c>
      <c r="F29" s="78">
        <v>122</v>
      </c>
      <c r="G29" s="79">
        <v>109.9</v>
      </c>
      <c r="H29" s="79">
        <v>85.952600097656244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317.85260009765625</v>
      </c>
      <c r="X29" s="140">
        <v>26</v>
      </c>
      <c r="Y29" s="140">
        <v>2</v>
      </c>
      <c r="Z29" s="39">
        <v>73.85260009765625</v>
      </c>
      <c r="AA29" s="39"/>
      <c r="AB29" s="135"/>
      <c r="AC29" s="135">
        <v>5</v>
      </c>
      <c r="AD29" s="135">
        <v>1</v>
      </c>
      <c r="AE29" s="135">
        <v>1</v>
      </c>
      <c r="AF29" s="39">
        <v>12.1</v>
      </c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-2.9259301174140546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Лист1!M$15</f>
        <v>330.40777337671523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1.1221810367299716</v>
      </c>
      <c r="D32" s="15">
        <f>C32-E32</f>
        <v>1.1221810367299716</v>
      </c>
      <c r="E32" s="32">
        <f t="shared" si="2"/>
        <v>0</v>
      </c>
      <c r="F32" s="78">
        <v>122</v>
      </c>
      <c r="G32" s="79">
        <v>122</v>
      </c>
      <c r="H32" s="79">
        <v>89.7452392578125</v>
      </c>
      <c r="I32" s="79"/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333.7452392578125</v>
      </c>
      <c r="X32" s="96">
        <v>27</v>
      </c>
      <c r="Y32" s="96">
        <v>2</v>
      </c>
      <c r="Z32" s="39">
        <v>89.7452392578125</v>
      </c>
      <c r="AA32" s="39"/>
      <c r="AB32" s="135"/>
      <c r="AC32" s="135"/>
      <c r="AD32" s="135"/>
      <c r="AE32" s="135"/>
      <c r="AF32" s="39"/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+SIGN($R32)+SIGN($S32)+SIGN($T32))</f>
        <v>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0.7077733767152381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Лист1!N$15</f>
        <v>346.14147687084449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2.1209468848437929</v>
      </c>
      <c r="D35" s="15">
        <f>C35-E35</f>
        <v>0.8666976367930006</v>
      </c>
      <c r="E35" s="32">
        <f t="shared" si="2"/>
        <v>1.2542492480507923</v>
      </c>
      <c r="F35" s="78">
        <v>122</v>
      </c>
      <c r="G35" s="79">
        <v>122</v>
      </c>
      <c r="H35" s="79">
        <v>105.63784790039063</v>
      </c>
      <c r="I35" s="79"/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349.63784790039063</v>
      </c>
      <c r="X35" s="96">
        <v>28</v>
      </c>
      <c r="Y35" s="96">
        <v>2</v>
      </c>
      <c r="Z35" s="39">
        <v>105.63784790039063</v>
      </c>
      <c r="AA35" s="39"/>
      <c r="AB35" s="135"/>
      <c r="AC35" s="135"/>
      <c r="AD35" s="135"/>
      <c r="AE35" s="135"/>
      <c r="AF35" s="39"/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+SIGN($R35)+SIGN($S35)+SIGN($T35))</f>
        <v>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4.341476870844474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Лист1!O$15</f>
        <v>352.43495826849619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0.43552951615169555</v>
      </c>
      <c r="D38" s="15">
        <f>C38-E38</f>
        <v>0.43552951615169555</v>
      </c>
      <c r="E38" s="32">
        <f t="shared" si="2"/>
        <v>0</v>
      </c>
      <c r="F38" s="78">
        <v>122</v>
      </c>
      <c r="G38" s="79">
        <v>122</v>
      </c>
      <c r="H38" s="79">
        <v>111.99490356445313</v>
      </c>
      <c r="I38" s="79"/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355.99490356445313</v>
      </c>
      <c r="X38" s="135">
        <v>29</v>
      </c>
      <c r="Y38" s="135">
        <v>2</v>
      </c>
      <c r="Z38" s="39">
        <v>111.99490356445313</v>
      </c>
      <c r="AA38" s="39"/>
      <c r="AB38" s="135"/>
      <c r="AC38" s="135"/>
      <c r="AD38" s="135"/>
      <c r="AE38" s="135"/>
      <c r="AF38" s="39"/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+SIGN($R38)+SIGN($S38)+SIGN($T38))</f>
        <v>3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-1.4650417315037885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Лист1!P$15</f>
        <v>358.72843966614795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2.182274612359572</v>
      </c>
      <c r="D41" s="15">
        <f>C41-E41</f>
        <v>0.83628719339675461</v>
      </c>
      <c r="E41" s="32">
        <f t="shared" si="2"/>
        <v>1.3459874189628174</v>
      </c>
      <c r="F41" s="78">
        <v>122</v>
      </c>
      <c r="G41" s="79">
        <v>122</v>
      </c>
      <c r="H41" s="79">
        <v>118.35195922851563</v>
      </c>
      <c r="I41" s="79"/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362.35195922851563</v>
      </c>
      <c r="X41" s="135">
        <v>29</v>
      </c>
      <c r="Y41" s="135">
        <v>2</v>
      </c>
      <c r="Z41" s="39">
        <v>118.35195922851563</v>
      </c>
      <c r="AA41" s="39"/>
      <c r="AB41" s="135"/>
      <c r="AC41" s="135"/>
      <c r="AD41" s="135"/>
      <c r="AE41" s="135"/>
      <c r="AF41" s="39"/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+SIGN($R41)+SIGN($S41)+SIGN($T41))</f>
        <v>3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4.8284396661479718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Лист1!Q$15</f>
        <v>365.02192106379965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0.55391770935484586</v>
      </c>
      <c r="D44" s="15">
        <f>C44-E44</f>
        <v>0.55391770935484586</v>
      </c>
      <c r="E44" s="32">
        <f t="shared" si="2"/>
        <v>0</v>
      </c>
      <c r="F44" s="85">
        <v>122</v>
      </c>
      <c r="G44" s="82">
        <v>122</v>
      </c>
      <c r="H44" s="82">
        <v>124.70901489257813</v>
      </c>
      <c r="I44" s="82"/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368.70901489257813</v>
      </c>
      <c r="X44" s="135">
        <v>30</v>
      </c>
      <c r="Y44" s="135">
        <v>2</v>
      </c>
      <c r="Z44" s="39">
        <v>124.70901489257813</v>
      </c>
      <c r="AA44" s="39"/>
      <c r="AB44" s="135"/>
      <c r="AC44" s="135"/>
      <c r="AD44" s="135"/>
      <c r="AE44" s="135"/>
      <c r="AF44" s="39"/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+SIGN($R44)+SIGN($S44)+SIGN($T44))</f>
        <v>3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-0.97807893620034747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Лист1!R$15</f>
        <v>371.31540246145141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2.2394445278403681</v>
      </c>
      <c r="D47" s="15">
        <f>C47-E47</f>
        <v>1.0772512999687014</v>
      </c>
      <c r="E47" s="32">
        <f t="shared" si="2"/>
        <v>1.1621932278716667</v>
      </c>
      <c r="F47" s="78">
        <v>97.8</v>
      </c>
      <c r="G47" s="79">
        <v>97.8</v>
      </c>
      <c r="H47" s="79">
        <v>85.7</v>
      </c>
      <c r="I47" s="79">
        <v>93.766070556640614</v>
      </c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375.06607055664063</v>
      </c>
      <c r="X47" s="135">
        <v>30</v>
      </c>
      <c r="Y47" s="135">
        <v>3</v>
      </c>
      <c r="Z47" s="39">
        <v>9.066070556640625</v>
      </c>
      <c r="AA47" s="39">
        <v>45.933929443359375</v>
      </c>
      <c r="AB47" s="135">
        <v>4</v>
      </c>
      <c r="AC47" s="135">
        <v>5</v>
      </c>
      <c r="AD47" s="135">
        <v>2</v>
      </c>
      <c r="AE47" s="135">
        <v>3</v>
      </c>
      <c r="AF47" s="39">
        <v>36.299999999999997</v>
      </c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+SIGN($R47)+SIGN($S47)+SIGN($T47))</f>
        <v>4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4.3154024614514128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.899999999999999" x14ac:dyDescent="0.35">
      <c r="A50" s="60">
        <f>Лист1!S$3</f>
        <v>12</v>
      </c>
      <c r="B50" s="224">
        <f>Лист1!S$15</f>
        <v>377.60888385910312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0.66441335634446785</v>
      </c>
      <c r="D50" s="15">
        <f>C50-E50</f>
        <v>0.66441335634446785</v>
      </c>
      <c r="E50" s="32">
        <f t="shared" si="2"/>
        <v>0</v>
      </c>
      <c r="F50" s="87">
        <v>97.8</v>
      </c>
      <c r="G50" s="88">
        <v>97.8</v>
      </c>
      <c r="H50" s="88">
        <v>97.8</v>
      </c>
      <c r="I50" s="88">
        <v>88.023126220703148</v>
      </c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381.42312622070313</v>
      </c>
      <c r="X50" s="135">
        <v>31</v>
      </c>
      <c r="Y50" s="135">
        <v>3</v>
      </c>
      <c r="Z50" s="39">
        <v>15.423126220703125</v>
      </c>
      <c r="AA50" s="141">
        <v>39.576873779296875</v>
      </c>
      <c r="AB50" s="135">
        <v>4</v>
      </c>
      <c r="AC50" s="135">
        <v>5</v>
      </c>
      <c r="AD50" s="135">
        <v>2</v>
      </c>
      <c r="AE50" s="135">
        <v>3</v>
      </c>
      <c r="AF50" s="39">
        <v>24.2</v>
      </c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4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-1.4911161408968496</v>
      </c>
      <c r="E51" s="129">
        <f>B50</f>
        <v>377.60888385910312</v>
      </c>
      <c r="F51" s="20">
        <f>C51-F50</f>
        <v>-93.8</v>
      </c>
      <c r="G51" s="26">
        <f t="shared" ref="G51:M51" si="3">F51-G50</f>
        <v>-191.6</v>
      </c>
      <c r="H51" s="26">
        <f t="shared" si="3"/>
        <v>-289.39999999999998</v>
      </c>
      <c r="I51" s="26">
        <f t="shared" si="3"/>
        <v>-377.42312622070313</v>
      </c>
      <c r="J51" s="26">
        <f t="shared" si="3"/>
        <v>-377.42312622070313</v>
      </c>
      <c r="K51" s="26">
        <f t="shared" si="3"/>
        <v>-377.42312622070313</v>
      </c>
      <c r="L51" s="26">
        <f t="shared" si="3"/>
        <v>-377.42312622070313</v>
      </c>
      <c r="M51" s="26">
        <f t="shared" si="3"/>
        <v>-377.42312622070313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7.719191815270726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1.4657060238785138</v>
      </c>
      <c r="D53" s="31">
        <f>AVERAGE(D11,D14,D17,D20,D23,D26,D29,D32,D35,D38,D41,D44,D47,D50,)</f>
        <v>0.79687651248187086</v>
      </c>
      <c r="E53" s="31">
        <f>AVERAGE(E11,E14,E17,E20,E23,E26,E29,E32,E35,E38,E41,E44,E47,E50,)</f>
        <v>0.66882951139664315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6.95" x14ac:dyDescent="0.3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6.95" x14ac:dyDescent="0.3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6.95" x14ac:dyDescent="0.3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17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.899999999999999" x14ac:dyDescent="0.35">
      <c r="A61" s="60">
        <f>Лист1!F$3</f>
        <v>7</v>
      </c>
      <c r="B61" s="13">
        <f>Лист1!F$15</f>
        <v>220.27184891781013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1.1221810367299674</v>
      </c>
      <c r="D61" s="15">
        <f>C61-E61</f>
        <v>1.1221810367299674</v>
      </c>
      <c r="E61" s="32">
        <f>IF(D62 &gt; $D$60,D62/$B61*100,0)</f>
        <v>0</v>
      </c>
      <c r="F61" s="78">
        <v>122</v>
      </c>
      <c r="G61" s="79">
        <v>100.49681091308594</v>
      </c>
      <c r="H61" s="79"/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222.49681091308594</v>
      </c>
      <c r="X61" s="96">
        <v>18</v>
      </c>
      <c r="Y61" s="96">
        <v>1</v>
      </c>
      <c r="Z61" s="39">
        <v>100.49681091308594</v>
      </c>
      <c r="AA61" s="97"/>
    </row>
    <row r="62" spans="1:35" ht="16.95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2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0.47184891781014926</v>
      </c>
      <c r="E62" s="129">
        <f>B61</f>
        <v>220.27184891781013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95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9.0194978891657076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.899999999999999" x14ac:dyDescent="0.35">
      <c r="A64" s="60">
        <f>Лист1!G$3</f>
        <v>7.5</v>
      </c>
      <c r="B64" s="13">
        <f>Лист1!G$15</f>
        <v>236.00555241193945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2.587037613963596</v>
      </c>
      <c r="D64" s="15">
        <f>C64-E64</f>
        <v>0.84743768930871166</v>
      </c>
      <c r="E64" s="32">
        <f t="shared" ref="E64:E100" si="7">IF(D65 &gt; $D$60,D65/$B64*100,0)</f>
        <v>1.7395999246548843</v>
      </c>
      <c r="F64" s="78">
        <v>122</v>
      </c>
      <c r="G64" s="79">
        <v>116.38945007324219</v>
      </c>
      <c r="H64" s="79"/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238.38945007324219</v>
      </c>
      <c r="X64" s="96">
        <v>19</v>
      </c>
      <c r="Y64" s="96">
        <v>1</v>
      </c>
      <c r="Z64" s="39">
        <v>116.38945007324219</v>
      </c>
      <c r="AA64" s="97"/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2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4.105552411939442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.899999999999999" x14ac:dyDescent="0.35">
      <c r="A67" s="60">
        <f>Лист1!H$3</f>
        <v>8</v>
      </c>
      <c r="B67" s="13">
        <f>Лист1!H$15</f>
        <v>251.73925590606873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13.481908407138727</v>
      </c>
      <c r="D67" s="15">
        <f>C67-E67</f>
        <v>1.1917092505903781</v>
      </c>
      <c r="E67" s="32">
        <f t="shared" si="7"/>
        <v>12.290199156548349</v>
      </c>
      <c r="F67" s="78">
        <v>84.760691324869796</v>
      </c>
      <c r="G67" s="79">
        <v>84.760691324869796</v>
      </c>
      <c r="H67" s="79">
        <v>84.760691324869796</v>
      </c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 t="s">
        <v>70</v>
      </c>
      <c r="W67" s="17">
        <f t="shared" si="6"/>
        <v>254.28207397460938</v>
      </c>
      <c r="X67" s="96">
        <v>21</v>
      </c>
      <c r="Y67" s="96">
        <v>2</v>
      </c>
      <c r="Z67" s="39">
        <v>10.282073974609375</v>
      </c>
      <c r="AA67" s="97">
        <v>64.717926025390625</v>
      </c>
      <c r="AB67" s="135">
        <v>6</v>
      </c>
      <c r="AC67" s="135">
        <v>3</v>
      </c>
      <c r="AD67" s="135">
        <v>3</v>
      </c>
      <c r="AE67" s="135">
        <v>2</v>
      </c>
      <c r="AF67" s="39">
        <v>12.1</v>
      </c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3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30.939255906068752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.899999999999999" x14ac:dyDescent="0.35">
      <c r="A70" s="60">
        <f>Лист1!I$3</f>
        <v>8.5</v>
      </c>
      <c r="B70" s="13">
        <f>Лист1!I$15</f>
        <v>267.47295940019802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0.47592078206806976</v>
      </c>
      <c r="D70" s="15">
        <f>C70-E70</f>
        <v>0.47592078206806976</v>
      </c>
      <c r="E70" s="32">
        <f t="shared" si="7"/>
        <v>0</v>
      </c>
      <c r="F70" s="78">
        <v>85.7</v>
      </c>
      <c r="G70" s="79">
        <v>85.7</v>
      </c>
      <c r="H70" s="79">
        <v>98.774713134765619</v>
      </c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270.17471313476563</v>
      </c>
      <c r="X70" s="96">
        <v>22</v>
      </c>
      <c r="Y70" s="96">
        <v>2</v>
      </c>
      <c r="Z70" s="39">
        <v>26.174713134765625</v>
      </c>
      <c r="AA70" s="97">
        <v>48.825286865234375</v>
      </c>
      <c r="AB70" s="135">
        <v>5</v>
      </c>
      <c r="AC70" s="135">
        <v>3</v>
      </c>
      <c r="AD70" s="135">
        <v>2</v>
      </c>
      <c r="AE70" s="135">
        <v>2</v>
      </c>
      <c r="AF70" s="39">
        <v>12.1</v>
      </c>
    </row>
    <row r="71" spans="1:32" s="12" customFormat="1" ht="16.95" hidden="1" x14ac:dyDescent="0.3">
      <c r="A71" s="58"/>
      <c r="B71" s="201"/>
      <c r="C71" s="19">
        <f>$C$58*
(SIGN($F70)+SIGN($G70)+SIGN($H70)+SIGN($I70)
+SIGN($J70)+SIGN($K70)+SIGN($L70)+SIGN($M70)
+SIGN($N70)+SIGN($O70)+SIGN($P70)+SIGN($Q70)
+SIGN($R70)+SIGN($S70)+SIGN($T70))</f>
        <v>3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-1.7270405998019669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201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.899999999999999" x14ac:dyDescent="0.35">
      <c r="A73" s="60">
        <f>Лист1!J$3</f>
        <v>9</v>
      </c>
      <c r="B73" s="13">
        <f>Лист1!J$15</f>
        <v>283.20666289432734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1.7325379439106434</v>
      </c>
      <c r="D73" s="15">
        <f>C73-E73</f>
        <v>1.7325379439106434</v>
      </c>
      <c r="E73" s="32">
        <f t="shared" si="7"/>
        <v>0</v>
      </c>
      <c r="F73" s="78">
        <v>97.8</v>
      </c>
      <c r="G73" s="79">
        <v>85.7</v>
      </c>
      <c r="H73" s="79">
        <v>102.56732177734375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/>
      <c r="W73" s="17">
        <f>SUM(F73:T73)</f>
        <v>286.06732177734375</v>
      </c>
      <c r="X73" s="135">
        <v>23</v>
      </c>
      <c r="Y73" s="135">
        <v>2</v>
      </c>
      <c r="Z73" s="39">
        <v>42.06732177734375</v>
      </c>
      <c r="AA73" s="141">
        <v>32.93267822265625</v>
      </c>
      <c r="AB73" s="135">
        <v>3</v>
      </c>
      <c r="AC73" s="135">
        <v>3</v>
      </c>
      <c r="AD73" s="135">
        <v>2</v>
      </c>
      <c r="AE73" s="135">
        <v>2</v>
      </c>
      <c r="AF73" s="39">
        <v>24.2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1.9066628943273258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.899999999999999" x14ac:dyDescent="0.35">
      <c r="A76" s="60">
        <f>Лист1!K$3</f>
        <v>9.5</v>
      </c>
      <c r="B76" s="13">
        <f>Лист1!K$15</f>
        <v>298.9403663884566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2.8568796150329465</v>
      </c>
      <c r="D76" s="15">
        <f>C76-E76</f>
        <v>1.0035446320761061</v>
      </c>
      <c r="E76" s="32">
        <f t="shared" si="7"/>
        <v>1.8533349829568404</v>
      </c>
      <c r="F76" s="78">
        <v>109.9</v>
      </c>
      <c r="G76" s="79">
        <v>97.8</v>
      </c>
      <c r="H76" s="79">
        <v>94.259960937500011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301.9599609375</v>
      </c>
      <c r="X76" s="135">
        <v>24</v>
      </c>
      <c r="Y76" s="135">
        <v>2</v>
      </c>
      <c r="Z76" s="39">
        <v>57.9599609375</v>
      </c>
      <c r="AA76" s="39">
        <v>17.0400390625</v>
      </c>
      <c r="AB76" s="135">
        <v>2</v>
      </c>
      <c r="AC76" s="135">
        <v>3</v>
      </c>
      <c r="AD76" s="135">
        <v>1</v>
      </c>
      <c r="AE76" s="135">
        <v>2</v>
      </c>
      <c r="AF76" s="39">
        <v>12.1</v>
      </c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5.5403663884566186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.899999999999999" x14ac:dyDescent="0.35">
      <c r="A79" s="60">
        <f>Лист1!L$3</f>
        <v>10</v>
      </c>
      <c r="B79" s="13">
        <f>Лист1!L$15</f>
        <v>314.67406988258591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2.3538603804750424E-2</v>
      </c>
      <c r="D79" s="15">
        <f>C79-E79</f>
        <v>2.3538603804750424E-2</v>
      </c>
      <c r="E79" s="32">
        <f t="shared" si="7"/>
        <v>0</v>
      </c>
      <c r="F79" s="78">
        <v>109.9</v>
      </c>
      <c r="G79" s="79">
        <v>109.9</v>
      </c>
      <c r="H79" s="79">
        <v>98.052600097656239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317.85260009765625</v>
      </c>
      <c r="X79" s="135">
        <v>26</v>
      </c>
      <c r="Y79" s="135">
        <v>2</v>
      </c>
      <c r="Z79" s="39">
        <v>73.85260009765625</v>
      </c>
      <c r="AA79" s="39">
        <v>1.14739990234375</v>
      </c>
      <c r="AB79" s="135">
        <v>1</v>
      </c>
      <c r="AC79" s="135">
        <v>3</v>
      </c>
      <c r="AD79" s="135">
        <v>1</v>
      </c>
      <c r="AE79" s="135">
        <v>2</v>
      </c>
      <c r="AF79" s="39">
        <v>12.1</v>
      </c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-2.9259301174140546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.899999999999999" x14ac:dyDescent="0.35">
      <c r="A82" s="60">
        <f>Лист1!M$3</f>
        <v>10.5</v>
      </c>
      <c r="B82" s="13">
        <f>Лист1!M$15</f>
        <v>330.40777337671523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1.1221810367299716</v>
      </c>
      <c r="D82" s="15">
        <f>C82-E82</f>
        <v>1.1221810367299716</v>
      </c>
      <c r="E82" s="32">
        <f t="shared" si="7"/>
        <v>0</v>
      </c>
      <c r="F82" s="78">
        <v>122</v>
      </c>
      <c r="G82" s="79">
        <v>109.9</v>
      </c>
      <c r="H82" s="79">
        <v>101.84523925781249</v>
      </c>
      <c r="I82" s="79"/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333.7452392578125</v>
      </c>
      <c r="X82" s="135">
        <v>27</v>
      </c>
      <c r="Y82" s="135">
        <v>2</v>
      </c>
      <c r="Z82" s="39">
        <v>89.7452392578125</v>
      </c>
      <c r="AA82" s="39"/>
      <c r="AB82" s="135"/>
      <c r="AC82" s="135">
        <v>3</v>
      </c>
      <c r="AD82" s="135">
        <v>1</v>
      </c>
      <c r="AE82" s="135">
        <v>1</v>
      </c>
      <c r="AF82" s="39">
        <v>12.1</v>
      </c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0.7077733767152381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.899999999999999" x14ac:dyDescent="0.35">
      <c r="A85" s="60">
        <f>Лист1!N$3</f>
        <v>11</v>
      </c>
      <c r="B85" s="13">
        <f>Лист1!N$15</f>
        <v>346.14147687084449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2.1209468848437929</v>
      </c>
      <c r="D85" s="15">
        <f>C85-E85</f>
        <v>0.8666976367930006</v>
      </c>
      <c r="E85" s="32">
        <f t="shared" si="7"/>
        <v>1.2542492480507923</v>
      </c>
      <c r="F85" s="78">
        <v>122</v>
      </c>
      <c r="G85" s="79">
        <v>122</v>
      </c>
      <c r="H85" s="79">
        <v>105.63784790039063</v>
      </c>
      <c r="I85" s="79"/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349.63784790039063</v>
      </c>
      <c r="X85" s="135">
        <v>28</v>
      </c>
      <c r="Y85" s="135">
        <v>2</v>
      </c>
      <c r="Z85" s="39">
        <v>105.63784790039063</v>
      </c>
      <c r="AA85" s="39"/>
      <c r="AB85" s="135"/>
      <c r="AC85" s="135"/>
      <c r="AD85" s="135"/>
      <c r="AE85" s="135"/>
      <c r="AF85" s="39"/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4.341476870844474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.899999999999999" x14ac:dyDescent="0.35">
      <c r="A88" s="60">
        <f>Лист1!O$3</f>
        <v>11.2</v>
      </c>
      <c r="B88" s="13">
        <f>Лист1!O$15</f>
        <v>352.43495826849619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0.43552951615169555</v>
      </c>
      <c r="D88" s="15">
        <f>C88-E88</f>
        <v>0.43552951615169555</v>
      </c>
      <c r="E88" s="32">
        <f t="shared" si="7"/>
        <v>0</v>
      </c>
      <c r="F88" s="78">
        <v>122</v>
      </c>
      <c r="G88" s="79">
        <v>122</v>
      </c>
      <c r="H88" s="79">
        <v>111.99490356445313</v>
      </c>
      <c r="I88" s="79"/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355.99490356445313</v>
      </c>
      <c r="X88" s="135">
        <v>29</v>
      </c>
      <c r="Y88" s="135">
        <v>2</v>
      </c>
      <c r="Z88" s="39">
        <v>111.99490356445313</v>
      </c>
      <c r="AA88" s="39"/>
      <c r="AB88" s="135"/>
      <c r="AC88" s="135"/>
      <c r="AD88" s="135"/>
      <c r="AE88" s="135"/>
      <c r="AF88" s="39"/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3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-1.4650417315037885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.899999999999999" x14ac:dyDescent="0.35">
      <c r="A91" s="60">
        <f>Лист1!P$3</f>
        <v>11.4</v>
      </c>
      <c r="B91" s="13">
        <f>Лист1!P$15</f>
        <v>358.72843966614795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2.182274612359572</v>
      </c>
      <c r="D91" s="15">
        <f>C91-E91</f>
        <v>0.83628719339675461</v>
      </c>
      <c r="E91" s="32">
        <f t="shared" si="7"/>
        <v>1.3459874189628174</v>
      </c>
      <c r="F91" s="78">
        <v>122</v>
      </c>
      <c r="G91" s="79">
        <v>122</v>
      </c>
      <c r="H91" s="79">
        <v>118.35195922851563</v>
      </c>
      <c r="I91" s="79"/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362.35195922851563</v>
      </c>
      <c r="X91" s="135">
        <v>29</v>
      </c>
      <c r="Y91" s="135">
        <v>2</v>
      </c>
      <c r="Z91" s="39">
        <v>118.35195922851563</v>
      </c>
      <c r="AA91" s="39"/>
      <c r="AB91" s="135"/>
      <c r="AC91" s="135"/>
      <c r="AD91" s="135"/>
      <c r="AE91" s="135"/>
      <c r="AF91" s="39"/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3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4.8284396661479718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.899999999999999" x14ac:dyDescent="0.35">
      <c r="A94" s="60">
        <f>Лист1!Q$3</f>
        <v>11.6</v>
      </c>
      <c r="B94" s="27">
        <f>Лист1!Q$15</f>
        <v>365.02192106379965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0.55391770935484586</v>
      </c>
      <c r="D94" s="15">
        <f>C94-E94</f>
        <v>0.55391770935484586</v>
      </c>
      <c r="E94" s="32">
        <f t="shared" si="7"/>
        <v>0</v>
      </c>
      <c r="F94" s="85">
        <v>122</v>
      </c>
      <c r="G94" s="82">
        <v>122</v>
      </c>
      <c r="H94" s="82">
        <v>124.70901489257813</v>
      </c>
      <c r="I94" s="82"/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368.70901489257813</v>
      </c>
      <c r="X94" s="135">
        <v>30</v>
      </c>
      <c r="Y94" s="135">
        <v>2</v>
      </c>
      <c r="Z94" s="39">
        <v>124.70901489257813</v>
      </c>
      <c r="AA94" s="39"/>
      <c r="AB94" s="135"/>
      <c r="AC94" s="135"/>
      <c r="AD94" s="135"/>
      <c r="AE94" s="135"/>
      <c r="AF94" s="39"/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3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-0.97807893620034747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.899999999999999" x14ac:dyDescent="0.35">
      <c r="A97" s="60">
        <f>Лист1!R$3</f>
        <v>11.8</v>
      </c>
      <c r="B97" s="13">
        <f>Лист1!R$15</f>
        <v>371.31540246145141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2.2394445278403681</v>
      </c>
      <c r="D97" s="15">
        <f>C97-E97</f>
        <v>1.0772512999687014</v>
      </c>
      <c r="E97" s="32">
        <f t="shared" si="7"/>
        <v>1.1621932278716667</v>
      </c>
      <c r="F97" s="78">
        <v>97.8</v>
      </c>
      <c r="G97" s="79">
        <v>85.7</v>
      </c>
      <c r="H97" s="79">
        <v>85.7</v>
      </c>
      <c r="I97" s="79">
        <v>105.86607055664064</v>
      </c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375.06607055664063</v>
      </c>
      <c r="X97" s="135">
        <v>30</v>
      </c>
      <c r="Y97" s="135">
        <v>3</v>
      </c>
      <c r="Z97" s="39">
        <v>9.066070556640625</v>
      </c>
      <c r="AA97" s="39">
        <v>65.933929443359375</v>
      </c>
      <c r="AB97" s="135">
        <v>6</v>
      </c>
      <c r="AC97" s="135">
        <v>3</v>
      </c>
      <c r="AD97" s="135">
        <v>3</v>
      </c>
      <c r="AE97" s="135">
        <v>3</v>
      </c>
      <c r="AF97" s="39">
        <v>24.2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4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4.3154024614514128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.899999999999999" x14ac:dyDescent="0.35">
      <c r="A100" s="60">
        <f>Лист1!S$3</f>
        <v>12</v>
      </c>
      <c r="B100" s="13">
        <f>Лист1!S$15</f>
        <v>377.60888385910312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0.66441335634446785</v>
      </c>
      <c r="D100" s="15">
        <f>C100-E100</f>
        <v>0.66441335634446785</v>
      </c>
      <c r="E100" s="32">
        <f t="shared" si="7"/>
        <v>0</v>
      </c>
      <c r="F100" s="88">
        <v>97.8</v>
      </c>
      <c r="G100" s="88">
        <v>97.8</v>
      </c>
      <c r="H100" s="88">
        <v>85.7</v>
      </c>
      <c r="I100" s="88">
        <v>100.12312622070311</v>
      </c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381.42312622070313</v>
      </c>
      <c r="X100" s="135">
        <v>31</v>
      </c>
      <c r="Y100" s="135">
        <v>3</v>
      </c>
      <c r="Z100" s="39">
        <v>15.423126220703125</v>
      </c>
      <c r="AA100" s="141">
        <v>59.576873779296875</v>
      </c>
      <c r="AB100" s="135">
        <v>5</v>
      </c>
      <c r="AC100" s="135">
        <v>3</v>
      </c>
      <c r="AD100" s="135">
        <v>3</v>
      </c>
      <c r="AE100" s="135">
        <v>3</v>
      </c>
      <c r="AF100" s="39">
        <v>24.2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4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-1.4911161408968496</v>
      </c>
      <c r="E101" s="129">
        <f>B100</f>
        <v>377.60888385910312</v>
      </c>
      <c r="F101" s="20">
        <f>C101-F100</f>
        <v>-93.8</v>
      </c>
      <c r="G101" s="26">
        <f t="shared" ref="G101:M101" si="8">F101-G100</f>
        <v>-191.6</v>
      </c>
      <c r="H101" s="26">
        <f t="shared" si="8"/>
        <v>-277.3</v>
      </c>
      <c r="I101" s="26">
        <f t="shared" si="8"/>
        <v>-377.42312622070313</v>
      </c>
      <c r="J101" s="26">
        <f t="shared" si="8"/>
        <v>-377.42312622070313</v>
      </c>
      <c r="K101" s="26">
        <f t="shared" si="8"/>
        <v>-377.42312622070313</v>
      </c>
      <c r="L101" s="26">
        <f t="shared" si="8"/>
        <v>-377.42312622070313</v>
      </c>
      <c r="M101" s="26">
        <f t="shared" si="8"/>
        <v>-377.42312622070313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7.719191815270726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2.1065807764182276</v>
      </c>
      <c r="D103" s="31">
        <f>AVERAGE(D61,D64,D67,D70,D73,D76,D79,D82,D85,D88,D91,D94,D97,D100,)</f>
        <v>0.79687651248187097</v>
      </c>
      <c r="E103" s="31">
        <f>AVERAGE(E61,E64,E67,E70,E73,E76,E79,E82,E85,E88,E91,E94,E97,E100,)</f>
        <v>1.3097042639363565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6.95" x14ac:dyDescent="0.3">
      <c r="B104" s="30"/>
      <c r="C104" s="31"/>
      <c r="D104" s="31"/>
      <c r="E104" s="31"/>
      <c r="V104" s="38"/>
      <c r="W104" s="40"/>
    </row>
    <row r="105" spans="1:35" ht="16.95" x14ac:dyDescent="0.3">
      <c r="B105" s="30"/>
      <c r="C105" s="31"/>
      <c r="D105" s="31"/>
      <c r="E105" s="31"/>
      <c r="V105" s="38"/>
      <c r="W105" s="40"/>
    </row>
    <row r="106" spans="1:35" ht="16.95" x14ac:dyDescent="0.3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17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.899999999999999" x14ac:dyDescent="0.35">
      <c r="A111" s="60">
        <f>Лист1!F$3</f>
        <v>7</v>
      </c>
      <c r="B111" s="13">
        <f>Лист1!F$15</f>
        <v>220.27184891781013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1.1221810367299674</v>
      </c>
      <c r="D111" s="15">
        <f>C111-E111</f>
        <v>1.1221810367299674</v>
      </c>
      <c r="E111" s="32">
        <f>IF(D112 &gt; $D$110,D112/$B111*100,0)</f>
        <v>0</v>
      </c>
      <c r="F111" s="120">
        <v>109.9</v>
      </c>
      <c r="G111" s="121">
        <v>112.59681091308593</v>
      </c>
      <c r="H111" s="121"/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/>
      <c r="W111" s="17">
        <f>SUM(F111:T111)</f>
        <v>222.49681091308594</v>
      </c>
      <c r="X111" s="96">
        <v>18</v>
      </c>
      <c r="Y111" s="96">
        <v>1</v>
      </c>
      <c r="Z111" s="39">
        <v>100.49681091308594</v>
      </c>
      <c r="AA111" s="97"/>
      <c r="AC111" s="135">
        <v>2</v>
      </c>
      <c r="AD111" s="135">
        <v>1</v>
      </c>
      <c r="AE111" s="135">
        <v>1</v>
      </c>
      <c r="AF111" s="39">
        <v>12.1</v>
      </c>
    </row>
    <row r="112" spans="1:35" ht="16.95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2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0.47184891781014926</v>
      </c>
      <c r="E112" s="129">
        <f>B111</f>
        <v>220.27184891781013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95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9.0194978891657076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.899999999999999" x14ac:dyDescent="0.35">
      <c r="A114" s="60">
        <f>Лист1!G$3</f>
        <v>7.5</v>
      </c>
      <c r="B114" s="13">
        <f>Лист1!G$15</f>
        <v>236.00555241193945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2.587037613963596</v>
      </c>
      <c r="D114" s="15">
        <f>C114-E114</f>
        <v>0.84743768930871166</v>
      </c>
      <c r="E114" s="32">
        <f>IF(D115 &gt; $D$110,D115/$B114*100,0)</f>
        <v>1.7395999246548843</v>
      </c>
      <c r="F114" s="120">
        <v>122</v>
      </c>
      <c r="G114" s="121">
        <v>116.38945007324219</v>
      </c>
      <c r="H114" s="121"/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238.38945007324219</v>
      </c>
      <c r="X114" s="96">
        <v>19</v>
      </c>
      <c r="Y114" s="96">
        <v>1</v>
      </c>
      <c r="Z114" s="39">
        <v>116.38945007324219</v>
      </c>
      <c r="AA114" s="97"/>
      <c r="AB114" s="135"/>
      <c r="AC114" s="135"/>
      <c r="AD114" s="135"/>
      <c r="AE114" s="135"/>
      <c r="AF114" s="39"/>
    </row>
    <row r="115" spans="1:32" s="12" customFormat="1" ht="16.95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2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4.105552411939442</v>
      </c>
      <c r="E115" s="129">
        <f>B114</f>
        <v>236.00555241193945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9.6696509261132011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.899999999999999" x14ac:dyDescent="0.35">
      <c r="A117" s="60">
        <f>Лист1!H$3</f>
        <v>8</v>
      </c>
      <c r="B117" s="13">
        <f>Лист1!H$15</f>
        <v>251.73925590606873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8.6753477630908691</v>
      </c>
      <c r="D117" s="15">
        <f>C117-E117</f>
        <v>1.1917092505903772</v>
      </c>
      <c r="E117" s="32">
        <f>IF(D118 &gt; $D$110,D118/$B117*100,0)</f>
        <v>7.4836385125004918</v>
      </c>
      <c r="F117" s="120">
        <v>95</v>
      </c>
      <c r="G117" s="121">
        <v>95</v>
      </c>
      <c r="H117" s="121">
        <v>64.282073974609375</v>
      </c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 t="s">
        <v>71</v>
      </c>
      <c r="W117" s="17">
        <f>SUM(F117:T117)</f>
        <v>254.28207397460938</v>
      </c>
      <c r="X117" s="96">
        <v>21</v>
      </c>
      <c r="Y117" s="96">
        <v>2</v>
      </c>
      <c r="Z117" s="39">
        <v>10.282073974609375</v>
      </c>
      <c r="AA117" s="97">
        <v>84.717926025390625</v>
      </c>
      <c r="AB117" s="135">
        <v>8</v>
      </c>
      <c r="AC117" s="135">
        <v>2</v>
      </c>
      <c r="AD117" s="135">
        <v>4</v>
      </c>
      <c r="AE117" s="135">
        <v>2</v>
      </c>
      <c r="AF117" s="39"/>
    </row>
    <row r="118" spans="1:32" s="12" customFormat="1" ht="16.95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3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18.839255906068729</v>
      </c>
      <c r="E118" s="129">
        <f>B117</f>
        <v>251.73925590606873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6.8523210993407364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.899999999999999" x14ac:dyDescent="0.35">
      <c r="A120" s="60">
        <f>Лист1!I$3</f>
        <v>8.5</v>
      </c>
      <c r="B120" s="13">
        <f>Лист1!I$15</f>
        <v>267.47295940019802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9.5235643473346059</v>
      </c>
      <c r="D120" s="15">
        <f>C120-E120</f>
        <v>1.1216087064380016</v>
      </c>
      <c r="E120" s="32">
        <f>IF(D121 &gt; $D$110,D121/$B120*100,0)</f>
        <v>8.4019556408966043</v>
      </c>
      <c r="F120" s="120">
        <v>95</v>
      </c>
      <c r="G120" s="121">
        <v>95</v>
      </c>
      <c r="H120" s="121">
        <v>80.174713134765625</v>
      </c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 t="s">
        <v>71</v>
      </c>
      <c r="W120" s="17">
        <f>SUM(F120:T120)</f>
        <v>270.17471313476563</v>
      </c>
      <c r="X120" s="96">
        <v>22</v>
      </c>
      <c r="Y120" s="96">
        <v>2</v>
      </c>
      <c r="Z120" s="39">
        <v>26.174713134765625</v>
      </c>
      <c r="AA120" s="97">
        <v>68.825286865234375</v>
      </c>
      <c r="AB120" s="135">
        <v>6</v>
      </c>
      <c r="AC120" s="135">
        <v>2</v>
      </c>
      <c r="AD120" s="135">
        <v>3</v>
      </c>
      <c r="AE120" s="135">
        <v>2</v>
      </c>
      <c r="AF120" s="39"/>
    </row>
    <row r="121" spans="1:32" s="12" customFormat="1" ht="16.95" hidden="1" x14ac:dyDescent="0.3">
      <c r="A121" s="58"/>
      <c r="B121" s="201"/>
      <c r="C121" s="19">
        <f>$C$108*
(SIGN($F120)+SIGN($G120)+SIGN($H120)+SIGN($I120)
+SIGN($J120)+SIGN($K120)+SIGN($L120)+SIGN($M120)
+SIGN($N120)+SIGN($O120)+SIGN($P120)+SIGN($Q120)
+SIGN($R120)+SIGN($S120)+SIGN($T120))</f>
        <v>3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22.472959400198022</v>
      </c>
      <c r="E121" s="129">
        <f>B120</f>
        <v>267.47295940019802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201"/>
      <c r="C122" s="22"/>
      <c r="D122" s="22"/>
      <c r="E122" s="22">
        <f>IF(B120&gt;0,(B120/ROUNDUP(ROUNDUP(((B120-($C$108*ROUNDUP(B120/$H$108,0)))/$C$107),0)/$H$107,0)-$C$108)/$C$107,0-$C$108/$C$107)</f>
        <v>7.2857564573057303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.899999999999999" x14ac:dyDescent="0.35">
      <c r="A123" s="60">
        <f>Лист1!J$3</f>
        <v>9</v>
      </c>
      <c r="B123" s="13">
        <f>Лист1!J$15</f>
        <v>283.20666289432734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10.277534644440159</v>
      </c>
      <c r="D123" s="15">
        <f>C123-E123</f>
        <v>1.0592971116358907</v>
      </c>
      <c r="E123" s="32">
        <f>IF(D124 &gt; $D$110,D124/$B123*100,0)</f>
        <v>9.2182375328042685</v>
      </c>
      <c r="F123" s="78">
        <v>95.35577392578125</v>
      </c>
      <c r="G123" s="79">
        <v>95.35577392578125</v>
      </c>
      <c r="H123" s="79">
        <v>95.35577392578125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 t="s">
        <v>70</v>
      </c>
      <c r="W123" s="17">
        <f>SUM(F123:T123)</f>
        <v>286.06732177734375</v>
      </c>
      <c r="X123" s="135">
        <v>23</v>
      </c>
      <c r="Y123" s="135">
        <v>2</v>
      </c>
      <c r="Z123" s="39">
        <v>42.06732177734375</v>
      </c>
      <c r="AA123" s="39">
        <v>52.93267822265625</v>
      </c>
      <c r="AB123" s="135">
        <v>5</v>
      </c>
      <c r="AC123" s="135">
        <v>2</v>
      </c>
      <c r="AD123" s="135">
        <v>3</v>
      </c>
      <c r="AE123" s="135">
        <v>2</v>
      </c>
      <c r="AF123" s="39"/>
    </row>
    <row r="124" spans="1:32" s="12" customFormat="1" ht="16.95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26.106662894327343</v>
      </c>
      <c r="E124" s="129">
        <f>B123</f>
        <v>283.20666289432734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7.719191815270726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.899999999999999" x14ac:dyDescent="0.35">
      <c r="A126" s="60">
        <f>Лист1!K$3</f>
        <v>9.5</v>
      </c>
      <c r="B126" s="13">
        <f>Лист1!K$15</f>
        <v>298.9403663884566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2.8568796150329465</v>
      </c>
      <c r="D126" s="15">
        <f>C126-E126</f>
        <v>1.0035446320761061</v>
      </c>
      <c r="E126" s="32">
        <f>IF(D127 &gt; $D$110,D127/$B126*100,0)</f>
        <v>1.8533349829568404</v>
      </c>
      <c r="F126" s="78">
        <v>97.8</v>
      </c>
      <c r="G126" s="79">
        <v>97.8</v>
      </c>
      <c r="H126" s="79">
        <v>106.35996093750001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/>
      <c r="W126" s="17">
        <f>SUM(F126:T126)</f>
        <v>301.9599609375</v>
      </c>
      <c r="X126" s="135">
        <v>24</v>
      </c>
      <c r="Y126" s="135">
        <v>2</v>
      </c>
      <c r="Z126" s="39">
        <v>57.9599609375</v>
      </c>
      <c r="AA126" s="39">
        <v>37.0400390625</v>
      </c>
      <c r="AB126" s="135">
        <v>4</v>
      </c>
      <c r="AC126" s="135">
        <v>2</v>
      </c>
      <c r="AD126" s="135">
        <v>2</v>
      </c>
      <c r="AE126" s="135">
        <v>2</v>
      </c>
      <c r="AF126" s="39"/>
    </row>
    <row r="127" spans="1:32" s="12" customFormat="1" ht="16.95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5.5403663884566186</v>
      </c>
      <c r="E127" s="129">
        <f>B126</f>
        <v>298.9403663884566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8.1526271732357181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.899999999999999" x14ac:dyDescent="0.35">
      <c r="A129" s="60">
        <f>Лист1!L$3</f>
        <v>10</v>
      </c>
      <c r="B129" s="13">
        <f>Лист1!L$15</f>
        <v>314.67406988258591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2.3538603804750424E-2</v>
      </c>
      <c r="D129" s="15">
        <f>C129-E129</f>
        <v>2.3538603804750424E-2</v>
      </c>
      <c r="E129" s="32">
        <f>IF(D130 &gt; $D$110,D130/$B129*100,0)</f>
        <v>0</v>
      </c>
      <c r="F129" s="78">
        <v>109.9</v>
      </c>
      <c r="G129" s="79">
        <v>97.8</v>
      </c>
      <c r="H129" s="79">
        <v>110.15260009765626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/>
      <c r="W129" s="17">
        <f>SUM(F129:T129)</f>
        <v>317.85260009765625</v>
      </c>
      <c r="X129" s="135">
        <v>26</v>
      </c>
      <c r="Y129" s="135">
        <v>2</v>
      </c>
      <c r="Z129" s="39">
        <v>73.85260009765625</v>
      </c>
      <c r="AA129" s="39">
        <v>21.14739990234375</v>
      </c>
      <c r="AB129" s="135">
        <v>2</v>
      </c>
      <c r="AC129" s="135">
        <v>2</v>
      </c>
      <c r="AD129" s="135">
        <v>2</v>
      </c>
      <c r="AE129" s="135">
        <v>2</v>
      </c>
      <c r="AF129" s="39">
        <v>12.1</v>
      </c>
    </row>
    <row r="130" spans="1:32" s="12" customFormat="1" ht="18.899999999999999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-2.9259301174140546</v>
      </c>
      <c r="E130" s="129">
        <f>B129</f>
        <v>314.67406988258591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8.5860625312007137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.899999999999999" x14ac:dyDescent="0.35">
      <c r="A132" s="60">
        <f>Лист1!M$3</f>
        <v>10.5</v>
      </c>
      <c r="B132" s="13">
        <f>Лист1!M$15</f>
        <v>330.40777337671523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1.1221810367299716</v>
      </c>
      <c r="D132" s="15">
        <f>C132-E132</f>
        <v>1.1221810367299716</v>
      </c>
      <c r="E132" s="32">
        <f>IF(D133 &gt; $D$110,D133/$B132*100,0)</f>
        <v>0</v>
      </c>
      <c r="F132" s="78">
        <v>109.9</v>
      </c>
      <c r="G132" s="79">
        <v>109.9</v>
      </c>
      <c r="H132" s="79">
        <v>113.94523925781249</v>
      </c>
      <c r="I132" s="79"/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/>
      <c r="W132" s="17">
        <f>SUM(F132:T132)</f>
        <v>333.7452392578125</v>
      </c>
      <c r="X132" s="135">
        <v>27</v>
      </c>
      <c r="Y132" s="135">
        <v>2</v>
      </c>
      <c r="Z132" s="39">
        <v>89.7452392578125</v>
      </c>
      <c r="AA132" s="39">
        <v>5.2547607421875</v>
      </c>
      <c r="AB132" s="135">
        <v>1</v>
      </c>
      <c r="AC132" s="135">
        <v>2</v>
      </c>
      <c r="AD132" s="135">
        <v>1</v>
      </c>
      <c r="AE132" s="135">
        <v>2</v>
      </c>
      <c r="AF132" s="39">
        <v>12.1</v>
      </c>
    </row>
    <row r="133" spans="1:32" s="12" customFormat="1" ht="18.899999999999999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0.7077733767152381</v>
      </c>
      <c r="E133" s="129">
        <f>B132</f>
        <v>330.40777337671523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9.0194978891657094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.899999999999999" x14ac:dyDescent="0.35">
      <c r="A135" s="60">
        <f>Лист1!N$3</f>
        <v>11</v>
      </c>
      <c r="B135" s="13">
        <f>Лист1!N$15</f>
        <v>346.14147687084449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2.1209468848437929</v>
      </c>
      <c r="D135" s="15">
        <f>C135-E135</f>
        <v>0.8666976367930006</v>
      </c>
      <c r="E135" s="32">
        <f>IF(D136 &gt; $D$110,D136/$B135*100,0)</f>
        <v>1.2542492480507923</v>
      </c>
      <c r="F135" s="78">
        <v>122</v>
      </c>
      <c r="G135" s="79">
        <v>122</v>
      </c>
      <c r="H135" s="79">
        <v>105.63784790039063</v>
      </c>
      <c r="I135" s="79"/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349.63784790039063</v>
      </c>
      <c r="X135" s="135">
        <v>28</v>
      </c>
      <c r="Y135" s="135">
        <v>2</v>
      </c>
      <c r="Z135" s="39">
        <v>105.63784790039063</v>
      </c>
      <c r="AA135" s="39"/>
      <c r="AB135" s="135"/>
      <c r="AC135" s="135"/>
      <c r="AD135" s="135"/>
      <c r="AE135" s="135"/>
      <c r="AF135" s="39"/>
    </row>
    <row r="136" spans="1:32" s="12" customFormat="1" ht="18.899999999999999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4.341476870844474</v>
      </c>
      <c r="E136" s="129">
        <f>B135</f>
        <v>346.14147687084449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9.4529332471307015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.899999999999999" x14ac:dyDescent="0.35">
      <c r="A138" s="60">
        <f>Лист1!O$3</f>
        <v>11.2</v>
      </c>
      <c r="B138" s="13">
        <f>Лист1!O$15</f>
        <v>352.43495826849619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0.43552951615169555</v>
      </c>
      <c r="D138" s="15">
        <f>C138-E138</f>
        <v>0.43552951615169555</v>
      </c>
      <c r="E138" s="32">
        <f>IF(D139 &gt; $D$110,D139/$B138*100,0)</f>
        <v>0</v>
      </c>
      <c r="F138" s="78">
        <v>122</v>
      </c>
      <c r="G138" s="79">
        <v>122</v>
      </c>
      <c r="H138" s="79">
        <v>111.99490356445313</v>
      </c>
      <c r="I138" s="79"/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355.99490356445313</v>
      </c>
      <c r="X138" s="135">
        <v>29</v>
      </c>
      <c r="Y138" s="135">
        <v>2</v>
      </c>
      <c r="Z138" s="39">
        <v>111.99490356445313</v>
      </c>
      <c r="AA138" s="39"/>
      <c r="AB138" s="135"/>
      <c r="AC138" s="135"/>
      <c r="AD138" s="135"/>
      <c r="AE138" s="135"/>
      <c r="AF138" s="39"/>
    </row>
    <row r="139" spans="1:32" s="12" customFormat="1" ht="18.899999999999999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-1.4650417315037885</v>
      </c>
      <c r="E139" s="129">
        <f>B138</f>
        <v>352.43495826849619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9.6263073903166987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.899999999999999" x14ac:dyDescent="0.35">
      <c r="A141" s="60">
        <f>Лист1!P$3</f>
        <v>11.4</v>
      </c>
      <c r="B141" s="13">
        <f>Лист1!P$15</f>
        <v>358.72843966614795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2.182274612359572</v>
      </c>
      <c r="D141" s="15">
        <f>C141-E141</f>
        <v>0.83628719339675461</v>
      </c>
      <c r="E141" s="32">
        <f>IF(D142 &gt; $D$110,D142/$B141*100,0)</f>
        <v>1.3459874189628174</v>
      </c>
      <c r="F141" s="78">
        <v>122</v>
      </c>
      <c r="G141" s="79">
        <v>122</v>
      </c>
      <c r="H141" s="79">
        <v>118.35195922851563</v>
      </c>
      <c r="I141" s="79"/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362.35195922851563</v>
      </c>
      <c r="X141" s="135">
        <v>29</v>
      </c>
      <c r="Y141" s="135">
        <v>2</v>
      </c>
      <c r="Z141" s="39">
        <v>118.35195922851563</v>
      </c>
      <c r="AA141" s="39"/>
      <c r="AB141" s="135"/>
      <c r="AC141" s="135"/>
      <c r="AD141" s="135"/>
      <c r="AE141" s="135"/>
      <c r="AF141" s="39"/>
    </row>
    <row r="142" spans="1:32" s="12" customFormat="1" ht="18.899999999999999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3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4.8284396661479718</v>
      </c>
      <c r="E142" s="129">
        <f>B141</f>
        <v>358.72843966614795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9.7996815335026994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.899999999999999" x14ac:dyDescent="0.35">
      <c r="A144" s="60">
        <f>Лист1!Q$3</f>
        <v>11.6</v>
      </c>
      <c r="B144" s="27">
        <f>Лист1!Q$15</f>
        <v>365.02192106379965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0.55391770935484586</v>
      </c>
      <c r="D144" s="15">
        <f>C144-E144</f>
        <v>0.55391770935484586</v>
      </c>
      <c r="E144" s="32">
        <f>IF(D145 &gt; $D$110,D145/$B144*100,0)</f>
        <v>0</v>
      </c>
      <c r="F144" s="85">
        <v>122</v>
      </c>
      <c r="G144" s="82">
        <v>122</v>
      </c>
      <c r="H144" s="82">
        <v>124.70901489257813</v>
      </c>
      <c r="I144" s="82"/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368.70901489257813</v>
      </c>
      <c r="X144" s="135">
        <v>30</v>
      </c>
      <c r="Y144" s="135">
        <v>2</v>
      </c>
      <c r="Z144" s="39">
        <v>124.70901489257813</v>
      </c>
      <c r="AA144" s="39"/>
      <c r="AB144" s="135"/>
      <c r="AC144" s="135"/>
      <c r="AD144" s="135"/>
      <c r="AE144" s="135"/>
      <c r="AF144" s="39"/>
    </row>
    <row r="145" spans="1:32" s="12" customFormat="1" ht="18.899999999999999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3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-0.97807893620034747</v>
      </c>
      <c r="E145" s="129">
        <f>B144</f>
        <v>365.02192106379965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9.9730556766886949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.899999999999999" x14ac:dyDescent="0.35">
      <c r="A147" s="60">
        <f>Лист1!R$3</f>
        <v>11.8</v>
      </c>
      <c r="B147" s="13">
        <f>Лист1!R$15</f>
        <v>371.31540246145141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8.7568148926510077</v>
      </c>
      <c r="D147" s="15">
        <f>C147-E147</f>
        <v>1.0772512999687009</v>
      </c>
      <c r="E147" s="32">
        <f>IF(D148 &gt; $D$110,D148/$B147*100,0)</f>
        <v>7.6795635926823067</v>
      </c>
      <c r="F147" s="78">
        <v>95</v>
      </c>
      <c r="G147" s="79">
        <v>95</v>
      </c>
      <c r="H147" s="79">
        <v>95</v>
      </c>
      <c r="I147" s="79">
        <v>90.066070556640625</v>
      </c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 t="s">
        <v>71</v>
      </c>
      <c r="W147" s="17">
        <f>SUM(F147:T147)</f>
        <v>375.06607055664063</v>
      </c>
      <c r="X147" s="135">
        <v>30</v>
      </c>
      <c r="Y147" s="135">
        <v>3</v>
      </c>
      <c r="Z147" s="39">
        <v>9.066070556640625</v>
      </c>
      <c r="AA147" s="39">
        <v>85.933929443359375</v>
      </c>
      <c r="AB147" s="135">
        <v>8</v>
      </c>
      <c r="AC147" s="135">
        <v>2</v>
      </c>
      <c r="AD147" s="135">
        <v>4</v>
      </c>
      <c r="AE147" s="135">
        <v>3</v>
      </c>
      <c r="AF147" s="39"/>
    </row>
    <row r="148" spans="1:32" s="12" customFormat="1" ht="18.899999999999999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4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28.515402461451401</v>
      </c>
      <c r="E148" s="129">
        <f>B147</f>
        <v>371.31540246145141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7.5891612078812276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.899999999999999" x14ac:dyDescent="0.35">
      <c r="A150" s="60">
        <f>Лист1!S$3</f>
        <v>12</v>
      </c>
      <c r="B150" s="13">
        <f>Лист1!S$15</f>
        <v>377.60888385910312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10.277534644440154</v>
      </c>
      <c r="D150" s="15">
        <f>C150-E150</f>
        <v>1.0592971116358907</v>
      </c>
      <c r="E150" s="32">
        <f>IF(D151 &gt; $D$110,D151/$B150*100,0)</f>
        <v>9.2182375328042632</v>
      </c>
      <c r="F150" s="87">
        <v>95.355781555175781</v>
      </c>
      <c r="G150" s="88">
        <v>95.355781555175781</v>
      </c>
      <c r="H150" s="88">
        <v>95.355781555175781</v>
      </c>
      <c r="I150" s="88">
        <v>95.355781555175781</v>
      </c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 t="s">
        <v>70</v>
      </c>
      <c r="W150" s="17">
        <f>SUM(F150:T150)</f>
        <v>381.42312622070313</v>
      </c>
      <c r="X150" s="135">
        <v>31</v>
      </c>
      <c r="Y150" s="135">
        <v>3</v>
      </c>
      <c r="Z150" s="39">
        <v>15.423126220703125</v>
      </c>
      <c r="AA150" s="141">
        <v>79.576873779296875</v>
      </c>
      <c r="AB150" s="135">
        <v>7</v>
      </c>
      <c r="AC150" s="135">
        <v>2</v>
      </c>
      <c r="AD150" s="135">
        <v>4</v>
      </c>
      <c r="AE150" s="135">
        <v>3</v>
      </c>
      <c r="AF150" s="39"/>
    </row>
    <row r="151" spans="1:32" s="12" customFormat="1" ht="16.9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4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34.808883859103105</v>
      </c>
      <c r="E151" s="129">
        <f>B150</f>
        <v>377.60888385910312</v>
      </c>
      <c r="F151" s="20">
        <f>C151-F150</f>
        <v>-91.355781555175781</v>
      </c>
      <c r="G151" s="26">
        <f t="shared" ref="G151:M151" si="11">F151-G150</f>
        <v>-186.71156311035156</v>
      </c>
      <c r="H151" s="26">
        <f t="shared" si="11"/>
        <v>-282.06734466552734</v>
      </c>
      <c r="I151" s="26">
        <f t="shared" si="11"/>
        <v>-377.42312622070313</v>
      </c>
      <c r="J151" s="26">
        <f t="shared" si="11"/>
        <v>-377.42312622070313</v>
      </c>
      <c r="K151" s="26">
        <f t="shared" si="11"/>
        <v>-377.42312622070313</v>
      </c>
      <c r="L151" s="26">
        <f t="shared" si="11"/>
        <v>-377.42312622070313</v>
      </c>
      <c r="M151" s="26">
        <f t="shared" si="11"/>
        <v>-377.42312622070313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7.719191815270726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4.0343521947285286</v>
      </c>
      <c r="D153" s="31">
        <f>AVERAGE(D111,D114,D117,D120,D123,D126,D129,D132,D135,D138,D141,D144,D147,D150,)</f>
        <v>0.82136523564097763</v>
      </c>
      <c r="E153" s="31">
        <f>AVERAGE(E111,E114,E117,E120,E123,E126,E129,E132,E135,E138,E141,E144,E147,E150,)</f>
        <v>3.2129869590875519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H9:H10"/>
    <mergeCell ref="A7:A9"/>
    <mergeCell ref="B9:B10"/>
    <mergeCell ref="C9:C10"/>
    <mergeCell ref="F9:F10"/>
    <mergeCell ref="G9:G10"/>
    <mergeCell ref="A57:A59"/>
    <mergeCell ref="B59:B60"/>
    <mergeCell ref="C59:C60"/>
    <mergeCell ref="F59:F60"/>
    <mergeCell ref="G59:G60"/>
    <mergeCell ref="L59:L60"/>
    <mergeCell ref="M59:M60"/>
    <mergeCell ref="I9:I10"/>
    <mergeCell ref="J9:J10"/>
    <mergeCell ref="K9:K10"/>
    <mergeCell ref="L9:L10"/>
    <mergeCell ref="M9:M10"/>
    <mergeCell ref="H59:H60"/>
    <mergeCell ref="I59:I60"/>
    <mergeCell ref="J59:J60"/>
    <mergeCell ref="K59:K60"/>
    <mergeCell ref="I109:I110"/>
    <mergeCell ref="J109:J110"/>
    <mergeCell ref="K109:K110"/>
    <mergeCell ref="L109:L110"/>
    <mergeCell ref="M109:M110"/>
    <mergeCell ref="A107:A109"/>
    <mergeCell ref="B109:B110"/>
    <mergeCell ref="C109:C110"/>
    <mergeCell ref="F109:F110"/>
    <mergeCell ref="G109:G110"/>
    <mergeCell ref="H109:H1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24"/>
  <dimension ref="A1:AI153"/>
  <sheetViews>
    <sheetView topLeftCell="A4" zoomScaleNormal="100" workbookViewId="0">
      <selection activeCell="C5" sqref="C5"/>
    </sheetView>
  </sheetViews>
  <sheetFormatPr defaultColWidth="8.88671875" defaultRowHeight="15.6" x14ac:dyDescent="0.3"/>
  <cols>
    <col min="1" max="5" width="8.88671875" style="12"/>
    <col min="6" max="13" width="7.6640625" style="12" customWidth="1"/>
    <col min="14" max="14" width="2.6640625" style="12" customWidth="1"/>
    <col min="15" max="21" width="7.6640625" style="12" hidden="1" customWidth="1"/>
    <col min="22" max="22" width="5.77734375" style="102" customWidth="1"/>
    <col min="23" max="23" width="7.6640625" style="12" customWidth="1"/>
    <col min="24" max="25" width="6.6640625" style="135" customWidth="1"/>
    <col min="26" max="27" width="6.6640625" style="39" customWidth="1"/>
    <col min="28" max="31" width="6.6640625" style="135" customWidth="1"/>
    <col min="32" max="32" width="6.6640625" style="39" customWidth="1"/>
    <col min="33" max="35" width="6.6640625" style="135" customWidth="1"/>
    <col min="36" max="36" width="6.6640625" style="12" customWidth="1"/>
    <col min="37" max="16384" width="8.88671875" style="12"/>
  </cols>
  <sheetData>
    <row r="1" spans="1:35" ht="16.2" customHeight="1" x14ac:dyDescent="0.3">
      <c r="Y1" s="135">
        <v>25</v>
      </c>
      <c r="Z1" s="143">
        <v>26</v>
      </c>
      <c r="AA1" s="143">
        <v>27</v>
      </c>
      <c r="AB1" s="135">
        <v>28</v>
      </c>
      <c r="AC1" s="135">
        <v>29</v>
      </c>
      <c r="AD1" s="135">
        <v>30</v>
      </c>
      <c r="AE1" s="135">
        <v>31</v>
      </c>
      <c r="AF1" s="39">
        <v>32</v>
      </c>
      <c r="AG1" s="135">
        <v>33</v>
      </c>
      <c r="AH1" s="135">
        <v>34</v>
      </c>
    </row>
    <row r="7" spans="1:35" s="69" customFormat="1" ht="18" x14ac:dyDescent="0.35">
      <c r="A7" s="212" t="s">
        <v>32</v>
      </c>
      <c r="B7" s="70" t="s">
        <v>44</v>
      </c>
      <c r="C7" s="76">
        <v>12.1</v>
      </c>
      <c r="D7" s="70" t="s">
        <v>45</v>
      </c>
      <c r="E7" s="72">
        <v>125</v>
      </c>
      <c r="F7" s="131" t="s">
        <v>64</v>
      </c>
      <c r="G7" s="77" t="s">
        <v>63</v>
      </c>
      <c r="H7" s="126">
        <v>10</v>
      </c>
      <c r="I7" s="127">
        <f>H7-1</f>
        <v>9</v>
      </c>
      <c r="J7" s="127">
        <f t="shared" ref="J7:M7" si="0">I7-1</f>
        <v>8</v>
      </c>
      <c r="K7" s="127">
        <f t="shared" si="0"/>
        <v>7</v>
      </c>
      <c r="L7" s="127">
        <f t="shared" si="0"/>
        <v>6</v>
      </c>
      <c r="M7" s="127">
        <f t="shared" si="0"/>
        <v>5</v>
      </c>
      <c r="V7" s="169"/>
      <c r="W7" s="73"/>
      <c r="X7" s="139"/>
      <c r="Y7" s="139"/>
      <c r="Z7" s="139"/>
      <c r="AA7" s="139"/>
      <c r="AB7" s="136"/>
      <c r="AC7" s="136"/>
      <c r="AD7" s="136"/>
      <c r="AE7" s="136"/>
      <c r="AF7" s="139"/>
      <c r="AG7" s="136"/>
      <c r="AH7" s="136"/>
      <c r="AI7" s="136"/>
    </row>
    <row r="8" spans="1:35" s="69" customFormat="1" ht="18" x14ac:dyDescent="0.35">
      <c r="A8" s="212"/>
      <c r="B8" s="70" t="s">
        <v>47</v>
      </c>
      <c r="C8" s="71">
        <v>1</v>
      </c>
      <c r="D8" s="70" t="s">
        <v>46</v>
      </c>
      <c r="E8" s="72">
        <v>55</v>
      </c>
      <c r="F8" s="131" t="s">
        <v>65</v>
      </c>
      <c r="G8" s="132">
        <v>1</v>
      </c>
      <c r="H8" s="128">
        <v>122</v>
      </c>
      <c r="I8" s="128">
        <f>I7*$C7+$C8</f>
        <v>109.89999999999999</v>
      </c>
      <c r="J8" s="128">
        <f>J7*$C7+$C8</f>
        <v>97.8</v>
      </c>
      <c r="K8" s="128">
        <f t="shared" ref="K8:M8" si="1">K7*$C7+$C8</f>
        <v>85.7</v>
      </c>
      <c r="L8" s="128">
        <f t="shared" si="1"/>
        <v>73.599999999999994</v>
      </c>
      <c r="M8" s="128">
        <f t="shared" si="1"/>
        <v>61.5</v>
      </c>
      <c r="N8" s="93"/>
      <c r="O8" s="74"/>
      <c r="P8" s="74"/>
      <c r="Q8" s="74"/>
      <c r="R8" s="74"/>
      <c r="S8" s="74"/>
      <c r="T8" s="74"/>
      <c r="U8" s="93"/>
      <c r="V8" s="170"/>
      <c r="W8" s="75"/>
      <c r="X8" s="136"/>
      <c r="Y8" s="136"/>
      <c r="Z8" s="139"/>
      <c r="AA8" s="139"/>
      <c r="AB8" s="136"/>
      <c r="AC8" s="136"/>
      <c r="AD8" s="136"/>
      <c r="AE8" s="136"/>
      <c r="AF8" s="139"/>
      <c r="AG8" s="136"/>
      <c r="AH8" s="136"/>
      <c r="AI8" s="136"/>
    </row>
    <row r="9" spans="1:35" ht="41.55" customHeight="1" x14ac:dyDescent="0.3">
      <c r="A9" s="213"/>
      <c r="B9" s="214" t="s">
        <v>54</v>
      </c>
      <c r="C9" s="216" t="s">
        <v>9</v>
      </c>
      <c r="D9" s="61" t="s">
        <v>31</v>
      </c>
      <c r="E9" s="34" t="s">
        <v>9</v>
      </c>
      <c r="F9" s="218">
        <v>1</v>
      </c>
      <c r="G9" s="218">
        <v>2</v>
      </c>
      <c r="H9" s="220">
        <v>3</v>
      </c>
      <c r="I9" s="220">
        <v>4</v>
      </c>
      <c r="J9" s="222">
        <v>5</v>
      </c>
      <c r="K9" s="222">
        <v>6</v>
      </c>
      <c r="L9" s="222">
        <v>7</v>
      </c>
      <c r="M9" s="222">
        <v>8</v>
      </c>
      <c r="N9" s="104"/>
      <c r="O9" s="104">
        <v>10</v>
      </c>
      <c r="P9" s="104">
        <v>11</v>
      </c>
      <c r="Q9" s="104">
        <v>12</v>
      </c>
      <c r="R9" s="104">
        <v>13</v>
      </c>
      <c r="S9" s="104">
        <v>14</v>
      </c>
      <c r="T9" s="104">
        <v>15</v>
      </c>
      <c r="U9" s="104"/>
      <c r="V9" s="172" t="s">
        <v>69</v>
      </c>
      <c r="W9" s="35"/>
      <c r="X9" s="96"/>
      <c r="Y9" s="96"/>
      <c r="AA9" s="97"/>
    </row>
    <row r="10" spans="1:35" ht="18" x14ac:dyDescent="0.35">
      <c r="A10" s="58" t="s">
        <v>30</v>
      </c>
      <c r="B10" s="215"/>
      <c r="C10" s="217"/>
      <c r="D10" s="130">
        <v>3</v>
      </c>
      <c r="E10" s="37" t="s">
        <v>27</v>
      </c>
      <c r="F10" s="219"/>
      <c r="G10" s="219"/>
      <c r="H10" s="221"/>
      <c r="I10" s="221"/>
      <c r="J10" s="223"/>
      <c r="K10" s="223"/>
      <c r="L10" s="223"/>
      <c r="M10" s="223"/>
      <c r="N10" s="104"/>
      <c r="O10" s="104"/>
      <c r="P10" s="104"/>
      <c r="Q10" s="104"/>
      <c r="R10" s="104"/>
      <c r="S10" s="104"/>
      <c r="T10" s="104"/>
      <c r="U10" s="104"/>
      <c r="V10" s="203">
        <f>($E$7+$E$8)/2</f>
        <v>90</v>
      </c>
      <c r="W10" s="35"/>
      <c r="X10" s="135" t="s">
        <v>48</v>
      </c>
      <c r="Y10" s="135" t="s">
        <v>4</v>
      </c>
      <c r="Z10" s="39" t="s">
        <v>49</v>
      </c>
      <c r="AA10" s="39" t="s">
        <v>50</v>
      </c>
      <c r="AB10" s="135" t="s">
        <v>51</v>
      </c>
      <c r="AC10" s="135" t="s">
        <v>52</v>
      </c>
      <c r="AD10" s="142" t="s">
        <v>60</v>
      </c>
      <c r="AE10" s="142" t="s">
        <v>61</v>
      </c>
      <c r="AF10" s="39" t="s">
        <v>62</v>
      </c>
    </row>
    <row r="11" spans="1:35" ht="18.899999999999999" x14ac:dyDescent="0.35">
      <c r="A11" s="60">
        <f>Лист1!F$3</f>
        <v>7</v>
      </c>
      <c r="B11" s="224">
        <f>Лист1!F$16</f>
        <v>193.6212011937329</v>
      </c>
      <c r="C11" s="14">
        <f>($B11-$C$7* (
  ROUNDDOWN(($F11-$C$8)/$C$7,0) +  ROUNDDOWN(($G11-$C$8)/$C$7,0)
+ROUNDDOWN(($H11-$C$8)/$C$7,0) + ROUNDDOWN(($I11-$C$8)/$C$7,0)
+ROUNDDOWN(($J11-$C$8)/$C$7,0) +  ROUNDDOWN(($K11-$C$8)/$C$7,0)
+ROUNDDOWN(($L11-$C$8)/$C$7,0) +  ROUNDDOWN(($M11-$C$8)/$C$7,0)
+ROUNDDOWN(($N11-$C$8)/$C$7,0) + ROUNDDOWN(($O11-$C$8)/$C$7,0)
+ROUNDDOWN(($P11-$C$8)/$C$7,0) +  ROUNDDOWN(($Q11-$C$8)/$C$7,0)
+ROUNDDOWN(($R11-$C$8)/$C$7,0) +  ROUNDDOWN(($S11-$C$8)/$C$7,0)
+ROUNDDOWN(($T11-$C$8)/$C$7,0))   ) / $B11 * 100</f>
        <v>6.2602654662826458</v>
      </c>
      <c r="D11" s="15">
        <f>C11-E11</f>
        <v>1.0329447331539114</v>
      </c>
      <c r="E11" s="32">
        <f>IF(D12 &gt; $D$10,D12/$B11*100,0)</f>
        <v>5.2273207331287344</v>
      </c>
      <c r="F11" s="78">
        <v>109.9</v>
      </c>
      <c r="G11" s="79">
        <v>85.676965332031244</v>
      </c>
      <c r="H11" s="79"/>
      <c r="I11" s="79"/>
      <c r="J11" s="79"/>
      <c r="K11" s="79"/>
      <c r="L11" s="79"/>
      <c r="M11" s="80"/>
      <c r="N11" s="104"/>
      <c r="O11" s="104"/>
      <c r="P11" s="104"/>
      <c r="Q11" s="104"/>
      <c r="R11" s="104"/>
      <c r="S11" s="104"/>
      <c r="T11" s="104"/>
      <c r="U11" s="104"/>
      <c r="V11" s="200"/>
      <c r="W11" s="17">
        <f>SUM(F11:T11)</f>
        <v>195.57696533203125</v>
      </c>
      <c r="X11" s="96">
        <v>16</v>
      </c>
      <c r="Y11" s="96">
        <v>1</v>
      </c>
      <c r="Z11" s="39">
        <v>73.57696533203125</v>
      </c>
      <c r="AA11" s="97"/>
      <c r="AC11" s="135">
        <v>5</v>
      </c>
      <c r="AD11" s="135">
        <v>1</v>
      </c>
      <c r="AE11" s="135">
        <v>1</v>
      </c>
      <c r="AF11" s="39">
        <v>12.1</v>
      </c>
    </row>
    <row r="12" spans="1:35" ht="16.95" hidden="1" x14ac:dyDescent="0.3">
      <c r="A12" s="58"/>
      <c r="B12" s="195"/>
      <c r="C12" s="19">
        <f>$C$8*
(SIGN($F11)+SIGN($G11)+SIGN($H11)+SIGN($I11)
+SIGN($J11)+SIGN($K11)+SIGN($L11)+SIGN($M11)
+SIGN($N11)+SIGN($O11)+SIGN($P11)+SIGN($Q11)
+SIGN($R11)+SIGN($S11)+SIGN($T11))</f>
        <v>2</v>
      </c>
      <c r="D12" s="20">
        <f>$B11-$C12-$C$7*
(ROUNDDOWN(($F11-$C$8)/$C$7,0)+ROUNDDOWN(($G11-$C$8)/$C$7,0)
+ROUNDDOWN(($H11-$C$8)/$C$7,0)+ROUNDDOWN(($I11-$C$8)/$C$7,0)
+ROUNDDOWN(($J11-$C$8)/$C$7,0)+ROUNDDOWN(($K11-$C$8)/$C$7,0)
+ROUNDDOWN(($L11-$C$8)/$C$7,0)+ROUNDDOWN(($M11-$C$8)/$C$7,0)
+ROUNDDOWN(($N11-$C$8)/$C$7,0)+ROUNDDOWN(($O11-$C$8)/$C$7,0)
+ROUNDDOWN(($P11-$C$8)/$C$7,0)+ROUNDDOWN(($Q11-$C$8)/$C$7,0)
+ROUNDDOWN(($R11-$C$8)/$C$7,0)+ROUNDDOWN(($S11-$C$8)/$C$7,0)
+ROUNDDOWN(($T11-$C$8)/$C$7,0))</f>
        <v>10.121201193732901</v>
      </c>
      <c r="E12" s="129">
        <f>B11</f>
        <v>193.6212011937329</v>
      </c>
      <c r="F12" s="78"/>
      <c r="G12" s="79"/>
      <c r="H12" s="79"/>
      <c r="I12" s="79"/>
      <c r="J12" s="79"/>
      <c r="K12" s="79"/>
      <c r="L12" s="79"/>
      <c r="M12" s="80"/>
      <c r="N12" s="104"/>
      <c r="O12" s="104"/>
      <c r="P12" s="104"/>
      <c r="Q12" s="104"/>
      <c r="R12" s="104"/>
      <c r="S12" s="104"/>
      <c r="T12" s="104"/>
      <c r="U12" s="104"/>
      <c r="V12" s="39"/>
      <c r="W12" s="17"/>
      <c r="X12" s="96"/>
      <c r="Y12" s="96"/>
      <c r="AA12" s="97"/>
    </row>
    <row r="13" spans="1:35" ht="16.95" hidden="1" x14ac:dyDescent="0.3">
      <c r="A13" s="58"/>
      <c r="B13" s="195"/>
      <c r="C13" s="23"/>
      <c r="D13" s="24"/>
      <c r="E13" s="24">
        <f>IF(B11&gt;0,(B11/ROUNDUP(ROUNDUP(((B11-($C$8*ROUNDUP(B11/$H$8,0)))/$C$7),0)/$H$7,0)-$C$8)/$C$7,0-$C$8/$C$7)</f>
        <v>7.9182314542864836</v>
      </c>
      <c r="F13" s="78"/>
      <c r="G13" s="79"/>
      <c r="H13" s="79"/>
      <c r="I13" s="79"/>
      <c r="J13" s="79"/>
      <c r="K13" s="79"/>
      <c r="L13" s="79"/>
      <c r="M13" s="80"/>
      <c r="N13" s="104"/>
      <c r="O13" s="104"/>
      <c r="P13" s="104"/>
      <c r="Q13" s="104"/>
      <c r="R13" s="104"/>
      <c r="S13" s="104"/>
      <c r="T13" s="104"/>
      <c r="U13" s="104"/>
      <c r="V13" s="39"/>
      <c r="W13" s="17"/>
      <c r="X13" s="97"/>
      <c r="Y13" s="97"/>
      <c r="AA13" s="97"/>
    </row>
    <row r="14" spans="1:35" ht="18.899999999999999" x14ac:dyDescent="0.35">
      <c r="A14" s="60">
        <f>Лист1!G$3</f>
        <v>7.5</v>
      </c>
      <c r="B14" s="224">
        <f>Лист1!G$16</f>
        <v>207.45128699328524</v>
      </c>
      <c r="C14" s="14">
        <f>($B14-$C$7* (
  ROUNDDOWN(($F14-$C$8)/$C$7,0) +  ROUNDDOWN(($G14-$C$8)/$C$7,0)
+ROUNDDOWN(($H14-$C$8)/$C$7,0) + ROUNDDOWN(($I14-$C$8)/$C$7,0)
+ROUNDDOWN(($J14-$C$8)/$C$7,0) +  ROUNDDOWN(($K14-$C$8)/$C$7,0)
+ROUNDDOWN(($L14-$C$8)/$C$7,0) +  ROUNDDOWN(($M14-$C$8)/$C$7,0)
+ROUNDDOWN(($N14-$C$8)/$C$7,0) + ROUNDDOWN(($O14-$C$8)/$C$7,0)
+ROUNDDOWN(($P14-$C$8)/$C$7,0) +  ROUNDDOWN(($Q14-$C$8)/$C$7,0)
+ROUNDDOWN(($R14-$C$8)/$C$7,0) +  ROUNDDOWN(($S14-$C$8)/$C$7,0)
+ROUNDDOWN(($T14-$C$8)/$C$7,0))   ) / $B14 * 100</f>
        <v>0.84419191544564087</v>
      </c>
      <c r="D14" s="15">
        <f>C14-E14</f>
        <v>0.84419191544564087</v>
      </c>
      <c r="E14" s="32">
        <f t="shared" ref="E14:E50" si="2">IF(D15 &gt; $D$10,D15/$B14*100,0)</f>
        <v>0</v>
      </c>
      <c r="F14" s="78">
        <v>122</v>
      </c>
      <c r="G14" s="79">
        <v>87.5467529296875</v>
      </c>
      <c r="H14" s="79"/>
      <c r="I14" s="79"/>
      <c r="J14" s="79"/>
      <c r="K14" s="79"/>
      <c r="L14" s="79"/>
      <c r="M14" s="80"/>
      <c r="N14" s="104"/>
      <c r="O14" s="104"/>
      <c r="P14" s="104"/>
      <c r="Q14" s="104"/>
      <c r="R14" s="104"/>
      <c r="S14" s="104"/>
      <c r="T14" s="104"/>
      <c r="U14" s="104"/>
      <c r="V14" s="39"/>
      <c r="W14" s="17">
        <f>SUM(F14:T14)</f>
        <v>209.5467529296875</v>
      </c>
      <c r="X14" s="96">
        <v>17</v>
      </c>
      <c r="Y14" s="96">
        <v>1</v>
      </c>
      <c r="Z14" s="39">
        <v>87.5467529296875</v>
      </c>
      <c r="AA14" s="97"/>
    </row>
    <row r="15" spans="1:35" ht="16.95" hidden="1" x14ac:dyDescent="0.3">
      <c r="A15" s="58"/>
      <c r="B15" s="224"/>
      <c r="C15" s="19">
        <f>$C$8*
(SIGN($F14)+SIGN($G14)+SIGN($H14)+SIGN($I14)
+SIGN($J14)+SIGN($K14)+SIGN($L14)+SIGN($M14)
+SIGN($N14)+SIGN($O14)+SIGN($P14)+SIGN($Q14)
+SIGN($R14)+SIGN($S14)+SIGN($T14))</f>
        <v>2</v>
      </c>
      <c r="D15" s="20">
        <f>$B14-$C15-$C$7*
(ROUNDDOWN(($F14-$C$8)/$C$7,0)+ROUNDDOWN(($G14-$C$8)/$C$7,0)
+ROUNDDOWN(($H14-$C$8)/$C$7,0)+ROUNDDOWN(($I14-$C$8)/$C$7,0)
+ROUNDDOWN(($J14-$C$8)/$C$7,0)+ROUNDDOWN(($K14-$C$8)/$C$7,0)
+ROUNDDOWN(($L14-$C$8)/$C$7,0)+ROUNDDOWN(($M14-$C$8)/$C$7,0)
+ROUNDDOWN(($N14-$C$8)/$C$7,0)+ROUNDDOWN(($O14-$C$8)/$C$7,0)
+ROUNDDOWN(($P14-$C$8)/$C$7,0)+ROUNDDOWN(($Q14-$C$8)/$C$7,0)
+ROUNDDOWN(($R14-$C$8)/$C$7,0)+ROUNDDOWN(($S14-$C$8)/$C$7,0)
+ROUNDDOWN(($T14-$C$8)/$C$7,0))</f>
        <v>-0.24871300671475183</v>
      </c>
      <c r="E15" s="32">
        <f t="shared" si="2"/>
        <v>0</v>
      </c>
      <c r="F15" s="78"/>
      <c r="G15" s="79"/>
      <c r="H15" s="79"/>
      <c r="I15" s="79"/>
      <c r="J15" s="79"/>
      <c r="K15" s="79"/>
      <c r="L15" s="79"/>
      <c r="M15" s="80"/>
      <c r="N15" s="104"/>
      <c r="O15" s="104"/>
      <c r="P15" s="104"/>
      <c r="Q15" s="104"/>
      <c r="R15" s="104"/>
      <c r="S15" s="104"/>
      <c r="T15" s="104"/>
      <c r="U15" s="104"/>
      <c r="V15" s="39"/>
      <c r="W15" s="17"/>
      <c r="X15" s="96"/>
      <c r="Y15" s="96"/>
      <c r="AA15" s="97"/>
    </row>
    <row r="16" spans="1:35" ht="16.95" hidden="1" x14ac:dyDescent="0.3">
      <c r="A16" s="58"/>
      <c r="B16" s="224"/>
      <c r="C16" s="23"/>
      <c r="D16" s="24"/>
      <c r="E16" s="32">
        <f t="shared" si="2"/>
        <v>0</v>
      </c>
      <c r="F16" s="78"/>
      <c r="G16" s="79"/>
      <c r="H16" s="79"/>
      <c r="I16" s="79"/>
      <c r="J16" s="79"/>
      <c r="K16" s="79"/>
      <c r="L16" s="79"/>
      <c r="M16" s="80"/>
      <c r="N16" s="104"/>
      <c r="O16" s="104"/>
      <c r="P16" s="104"/>
      <c r="Q16" s="104"/>
      <c r="R16" s="104"/>
      <c r="S16" s="104"/>
      <c r="T16" s="104"/>
      <c r="U16" s="104"/>
      <c r="V16" s="39"/>
      <c r="W16" s="17"/>
      <c r="X16" s="96"/>
      <c r="Y16" s="96"/>
      <c r="AA16" s="97"/>
    </row>
    <row r="17" spans="1:32" s="12" customFormat="1" ht="18.899999999999999" x14ac:dyDescent="0.35">
      <c r="A17" s="60">
        <f>Лист1!H$3</f>
        <v>8</v>
      </c>
      <c r="B17" s="224">
        <f>Лист1!H$16</f>
        <v>221.2813727928376</v>
      </c>
      <c r="C17" s="14">
        <f>($B17-$C$7* (
  ROUNDDOWN(($F17-$C$8)/$C$7,0) +  ROUNDDOWN(($G17-$C$8)/$C$7,0)
+ROUNDDOWN(($H17-$C$8)/$C$7,0) + ROUNDDOWN(($I17-$C$8)/$C$7,0)
+ROUNDDOWN(($J17-$C$8)/$C$7,0) +  ROUNDDOWN(($K17-$C$8)/$C$7,0)
+ROUNDDOWN(($L17-$C$8)/$C$7,0) +  ROUNDDOWN(($M17-$C$8)/$C$7,0)
+ROUNDDOWN(($N17-$C$8)/$C$7,0) + ROUNDDOWN(($O17-$C$8)/$C$7,0)
+ROUNDDOWN(($P17-$C$8)/$C$7,0) +  ROUNDDOWN(($Q17-$C$8)/$C$7,0)
+ROUNDDOWN(($R17-$C$8)/$C$7,0) +  ROUNDDOWN(($S17-$C$8)/$C$7,0)
+ROUNDDOWN(($T17-$C$8)/$C$7,0))   ) / $B17 * 100</f>
        <v>1.5732787395967847</v>
      </c>
      <c r="D17" s="15">
        <f>C17-E17</f>
        <v>1.5732787395967847</v>
      </c>
      <c r="E17" s="32">
        <f t="shared" si="2"/>
        <v>0</v>
      </c>
      <c r="F17" s="78">
        <v>122</v>
      </c>
      <c r="G17" s="79">
        <v>101.51654052734375</v>
      </c>
      <c r="H17" s="79"/>
      <c r="I17" s="79"/>
      <c r="J17" s="79"/>
      <c r="K17" s="79"/>
      <c r="L17" s="79"/>
      <c r="M17" s="80"/>
      <c r="N17" s="104"/>
      <c r="O17" s="104"/>
      <c r="P17" s="104"/>
      <c r="Q17" s="104"/>
      <c r="R17" s="104"/>
      <c r="S17" s="104"/>
      <c r="T17" s="104"/>
      <c r="U17" s="104"/>
      <c r="V17" s="39"/>
      <c r="W17" s="17">
        <f>SUM(F17:T17)</f>
        <v>223.51654052734375</v>
      </c>
      <c r="X17" s="96">
        <v>18</v>
      </c>
      <c r="Y17" s="96">
        <v>1</v>
      </c>
      <c r="Z17" s="39">
        <v>101.51654052734375</v>
      </c>
      <c r="AA17" s="97"/>
      <c r="AB17" s="135"/>
      <c r="AC17" s="135"/>
      <c r="AD17" s="135"/>
      <c r="AE17" s="135"/>
      <c r="AF17" s="39"/>
    </row>
    <row r="18" spans="1:32" s="12" customFormat="1" ht="16.95" hidden="1" x14ac:dyDescent="0.3">
      <c r="A18" s="58"/>
      <c r="B18" s="224"/>
      <c r="C18" s="19">
        <f>$C$8*
(SIGN($F17)+SIGN($G17)+SIGN($H17)+SIGN($I17)
+SIGN($J17)+SIGN($K17)+SIGN($L17)+SIGN($M17)
+SIGN($N17)+SIGN($O17)+SIGN($P17)+SIGN($Q17)
+SIGN($R17)+SIGN($S17)+SIGN($T17))</f>
        <v>2</v>
      </c>
      <c r="D18" s="20">
        <f>$B17-$C18-$C$7*
(ROUNDDOWN(($F17-$C$8)/$C$7,0)+ROUNDDOWN(($G17-$C$8)/$C$7,0)
+ROUNDDOWN(($H17-$C$8)/$C$7,0)+ROUNDDOWN(($I17-$C$8)/$C$7,0)
+ROUNDDOWN(($J17-$C$8)/$C$7,0)+ROUNDDOWN(($K17-$C$8)/$C$7,0)
+ROUNDDOWN(($L17-$C$8)/$C$7,0)+ROUNDDOWN(($M17-$C$8)/$C$7,0)
+ROUNDDOWN(($N17-$C$8)/$C$7,0)+ROUNDDOWN(($O17-$C$8)/$C$7,0)
+ROUNDDOWN(($P17-$C$8)/$C$7,0)+ROUNDDOWN(($Q17-$C$8)/$C$7,0)
+ROUNDDOWN(($R17-$C$8)/$C$7,0)+ROUNDDOWN(($S17-$C$8)/$C$7,0)
+ROUNDDOWN(($T17-$C$8)/$C$7,0))</f>
        <v>1.4813727928376181</v>
      </c>
      <c r="E18" s="32">
        <f t="shared" si="2"/>
        <v>0</v>
      </c>
      <c r="F18" s="78"/>
      <c r="G18" s="79"/>
      <c r="H18" s="79"/>
      <c r="I18" s="79"/>
      <c r="J18" s="79"/>
      <c r="K18" s="79"/>
      <c r="L18" s="79"/>
      <c r="M18" s="80"/>
      <c r="N18" s="104"/>
      <c r="O18" s="104"/>
      <c r="P18" s="104"/>
      <c r="Q18" s="104"/>
      <c r="R18" s="104"/>
      <c r="S18" s="104"/>
      <c r="T18" s="104"/>
      <c r="U18" s="104"/>
      <c r="V18" s="39"/>
      <c r="W18" s="17"/>
      <c r="X18" s="96"/>
      <c r="Y18" s="96"/>
      <c r="Z18" s="39"/>
      <c r="AA18" s="97"/>
      <c r="AB18" s="135"/>
      <c r="AC18" s="135"/>
      <c r="AD18" s="135"/>
      <c r="AE18" s="135"/>
      <c r="AF18" s="39"/>
    </row>
    <row r="19" spans="1:32" s="12" customFormat="1" ht="16.95" hidden="1" x14ac:dyDescent="0.3">
      <c r="A19" s="58"/>
      <c r="B19" s="224"/>
      <c r="C19" s="23"/>
      <c r="D19" s="24"/>
      <c r="E19" s="32">
        <f t="shared" si="2"/>
        <v>0</v>
      </c>
      <c r="F19" s="78"/>
      <c r="G19" s="79"/>
      <c r="H19" s="79"/>
      <c r="I19" s="79"/>
      <c r="J19" s="79"/>
      <c r="K19" s="79"/>
      <c r="L19" s="79"/>
      <c r="M19" s="80"/>
      <c r="N19" s="104"/>
      <c r="O19" s="104"/>
      <c r="P19" s="104"/>
      <c r="Q19" s="104"/>
      <c r="R19" s="104"/>
      <c r="S19" s="104"/>
      <c r="T19" s="104"/>
      <c r="U19" s="104"/>
      <c r="V19" s="39"/>
      <c r="W19" s="17"/>
      <c r="X19" s="96"/>
      <c r="Y19" s="96"/>
      <c r="Z19" s="39"/>
      <c r="AA19" s="97"/>
      <c r="AB19" s="135"/>
      <c r="AC19" s="135"/>
      <c r="AD19" s="135"/>
      <c r="AE19" s="135"/>
      <c r="AF19" s="39"/>
    </row>
    <row r="20" spans="1:32" s="12" customFormat="1" ht="18.899999999999999" x14ac:dyDescent="0.35">
      <c r="A20" s="60">
        <f>Лист1!I$3</f>
        <v>8.5</v>
      </c>
      <c r="B20" s="224">
        <f>Лист1!I$16</f>
        <v>235.11145859238997</v>
      </c>
      <c r="C20" s="14">
        <f>($B20-$C$7* (
  ROUNDDOWN(($F20-$C$8)/$C$7,0) +  ROUNDDOWN(($G20-$C$8)/$C$7,0)
+ROUNDDOWN(($H20-$C$8)/$C$7,0) + ROUNDDOWN(($I20-$C$8)/$C$7,0)
+ROUNDDOWN(($J20-$C$8)/$C$7,0) +  ROUNDDOWN(($K20-$C$8)/$C$7,0)
+ROUNDDOWN(($L20-$C$8)/$C$7,0) +  ROUNDDOWN(($M20-$C$8)/$C$7,0)
+ROUNDDOWN(($N20-$C$8)/$C$7,0) + ROUNDDOWN(($O20-$C$8)/$C$7,0)
+ROUNDDOWN(($P20-$C$8)/$C$7,0) +  ROUNDDOWN(($Q20-$C$8)/$C$7,0)
+ROUNDDOWN(($R20-$C$8)/$C$7,0) +  ROUNDDOWN(($S20-$C$8)/$C$7,0)
+ROUNDDOWN(($T20-$C$8)/$C$7,0))   ) / $B20 * 100</f>
        <v>2.216590643259547</v>
      </c>
      <c r="D20" s="15">
        <f>C20-E20</f>
        <v>0.85066036847969095</v>
      </c>
      <c r="E20" s="32">
        <f t="shared" si="2"/>
        <v>1.3659302747798561</v>
      </c>
      <c r="F20" s="78">
        <v>122</v>
      </c>
      <c r="G20" s="79">
        <v>115.486328125</v>
      </c>
      <c r="H20" s="79"/>
      <c r="I20" s="79"/>
      <c r="J20" s="79"/>
      <c r="K20" s="79"/>
      <c r="L20" s="79"/>
      <c r="M20" s="80"/>
      <c r="N20" s="104"/>
      <c r="O20" s="104"/>
      <c r="P20" s="104"/>
      <c r="Q20" s="104"/>
      <c r="R20" s="104"/>
      <c r="S20" s="104"/>
      <c r="T20" s="104"/>
      <c r="U20" s="104"/>
      <c r="V20" s="39"/>
      <c r="W20" s="17">
        <f>SUM(F20:T20)</f>
        <v>237.486328125</v>
      </c>
      <c r="X20" s="96">
        <v>19</v>
      </c>
      <c r="Y20" s="96">
        <v>1</v>
      </c>
      <c r="Z20" s="39">
        <v>115.486328125</v>
      </c>
      <c r="AA20" s="97"/>
      <c r="AB20" s="135"/>
      <c r="AC20" s="135"/>
      <c r="AD20" s="135"/>
      <c r="AE20" s="135"/>
      <c r="AF20" s="39"/>
    </row>
    <row r="21" spans="1:32" s="12" customFormat="1" ht="16.95" hidden="1" x14ac:dyDescent="0.3">
      <c r="A21" s="58"/>
      <c r="B21" s="205"/>
      <c r="C21" s="19">
        <f>$C$8*
(SIGN($F20)+SIGN($G20)+SIGN($H20)+SIGN($I20)
+SIGN($J20)+SIGN($K20)+SIGN($L20)+SIGN($M20)
+SIGN($N20)+SIGN($O20)+SIGN($P20)+SIGN($Q20)
+SIGN($R20)+SIGN($S20)+SIGN($T20))</f>
        <v>2</v>
      </c>
      <c r="D21" s="20">
        <f>$B20-$C21-$C$7*
(ROUNDDOWN(($F20-$C$8)/$C$7,0)+ROUNDDOWN(($G20-$C$8)/$C$7,0)
+ROUNDDOWN(($H20-$C$8)/$C$7,0)+ROUNDDOWN(($I20-$C$8)/$C$7,0)
+ROUNDDOWN(($J20-$C$8)/$C$7,0)+ROUNDDOWN(($K20-$C$8)/$C$7,0)
+ROUNDDOWN(($L20-$C$8)/$C$7,0)+ROUNDDOWN(($M20-$C$8)/$C$7,0)
+ROUNDDOWN(($N20-$C$8)/$C$7,0)+ROUNDDOWN(($O20-$C$8)/$C$7,0)
+ROUNDDOWN(($P20-$C$8)/$C$7,0)+ROUNDDOWN(($Q20-$C$8)/$C$7,0)
+ROUNDDOWN(($R20-$C$8)/$C$7,0)+ROUNDDOWN(($S20-$C$8)/$C$7,0)
+ROUNDDOWN(($T20-$C$8)/$C$7,0))</f>
        <v>3.2114585923899597</v>
      </c>
      <c r="E21" s="32">
        <f t="shared" si="2"/>
        <v>0</v>
      </c>
      <c r="F21" s="78"/>
      <c r="G21" s="79"/>
      <c r="H21" s="79"/>
      <c r="I21" s="79"/>
      <c r="J21" s="79"/>
      <c r="K21" s="79"/>
      <c r="L21" s="79"/>
      <c r="M21" s="80"/>
      <c r="N21" s="104"/>
      <c r="O21" s="104"/>
      <c r="P21" s="104"/>
      <c r="Q21" s="104"/>
      <c r="R21" s="104"/>
      <c r="S21" s="104"/>
      <c r="T21" s="104"/>
      <c r="U21" s="104"/>
      <c r="V21" s="198"/>
      <c r="W21" s="35"/>
      <c r="X21" s="96"/>
      <c r="Y21" s="96"/>
      <c r="Z21" s="39"/>
      <c r="AA21" s="97"/>
      <c r="AB21" s="135"/>
      <c r="AC21" s="135"/>
      <c r="AD21" s="135"/>
      <c r="AE21" s="135"/>
      <c r="AF21" s="39"/>
    </row>
    <row r="22" spans="1:32" s="12" customFormat="1" ht="16.95" hidden="1" x14ac:dyDescent="0.3">
      <c r="A22" s="58"/>
      <c r="B22" s="205"/>
      <c r="C22" s="23"/>
      <c r="D22" s="24"/>
      <c r="E22" s="32">
        <f t="shared" si="2"/>
        <v>0</v>
      </c>
      <c r="F22" s="78"/>
      <c r="G22" s="79"/>
      <c r="H22" s="79"/>
      <c r="I22" s="79"/>
      <c r="J22" s="79"/>
      <c r="K22" s="79"/>
      <c r="L22" s="79"/>
      <c r="M22" s="80"/>
      <c r="N22" s="104"/>
      <c r="O22" s="104"/>
      <c r="P22" s="104"/>
      <c r="Q22" s="104"/>
      <c r="R22" s="104"/>
      <c r="S22" s="104"/>
      <c r="T22" s="104"/>
      <c r="U22" s="104"/>
      <c r="V22" s="198"/>
      <c r="W22" s="35"/>
      <c r="X22" s="96"/>
      <c r="Y22" s="96"/>
      <c r="Z22" s="39"/>
      <c r="AA22" s="97"/>
      <c r="AB22" s="135"/>
      <c r="AC22" s="135"/>
      <c r="AD22" s="135"/>
      <c r="AE22" s="135"/>
      <c r="AF22" s="39"/>
    </row>
    <row r="23" spans="1:32" s="12" customFormat="1" ht="18.899999999999999" x14ac:dyDescent="0.35">
      <c r="A23" s="60">
        <f>Лист1!J$3</f>
        <v>9</v>
      </c>
      <c r="B23" s="224">
        <f>Лист1!J$16</f>
        <v>248.9415443919423</v>
      </c>
      <c r="C23" s="14">
        <f>($B23-$C$7* (
  ROUNDDOWN(($F23-$C$8)/$C$7,0) +  ROUNDDOWN(($G23-$C$8)/$C$7,0)
+ROUNDDOWN(($H23-$C$8)/$C$7,0) + ROUNDDOWN(($I23-$C$8)/$C$7,0)
+ROUNDDOWN(($J23-$C$8)/$C$7,0) +  ROUNDDOWN(($K23-$C$8)/$C$7,0)
+ROUNDDOWN(($L23-$C$8)/$C$7,0) +  ROUNDDOWN(($M23-$C$8)/$C$7,0)
+ROUNDDOWN(($N23-$C$8)/$C$7,0) + ROUNDDOWN(($O23-$C$8)/$C$7,0)
+ROUNDDOWN(($P23-$C$8)/$C$7,0) +  ROUNDDOWN(($Q23-$C$8)/$C$7,0)
+ROUNDDOWN(($R23-$C$8)/$C$7,0) +  ROUNDDOWN(($S23-$C$8)/$C$7,0)
+ROUNDDOWN(($T23-$C$8)/$C$7,0))   ) / $B23 * 100</f>
        <v>2.7884234465153352</v>
      </c>
      <c r="D23" s="15">
        <f>C23-E23</f>
        <v>1.2051021886795616</v>
      </c>
      <c r="E23" s="32">
        <f t="shared" si="2"/>
        <v>1.5833212578357736</v>
      </c>
      <c r="F23" s="78">
        <v>85.7</v>
      </c>
      <c r="G23" s="79">
        <v>73.599999999999994</v>
      </c>
      <c r="H23" s="79">
        <v>92.156100463867176</v>
      </c>
      <c r="I23" s="79"/>
      <c r="J23" s="79"/>
      <c r="K23" s="79"/>
      <c r="L23" s="79"/>
      <c r="M23" s="80"/>
      <c r="N23" s="41"/>
      <c r="O23" s="38"/>
      <c r="P23" s="38"/>
      <c r="Q23" s="38"/>
      <c r="R23" s="39"/>
      <c r="S23" s="102"/>
      <c r="T23" s="102"/>
      <c r="U23" s="102"/>
      <c r="V23" s="39"/>
      <c r="W23" s="17">
        <f>SUM(F23:T23)</f>
        <v>251.45610046386719</v>
      </c>
      <c r="X23" s="96">
        <v>20</v>
      </c>
      <c r="Y23" s="96">
        <v>2</v>
      </c>
      <c r="Z23" s="39">
        <v>7.4561004638671875</v>
      </c>
      <c r="AA23" s="141">
        <v>47.543899536132813</v>
      </c>
      <c r="AB23" s="135">
        <v>4</v>
      </c>
      <c r="AC23" s="135">
        <v>5</v>
      </c>
      <c r="AD23" s="135">
        <v>2</v>
      </c>
      <c r="AE23" s="135">
        <v>2</v>
      </c>
      <c r="AF23" s="39">
        <v>36.299999999999997</v>
      </c>
    </row>
    <row r="24" spans="1:32" s="12" customFormat="1" ht="16.95" hidden="1" x14ac:dyDescent="0.3">
      <c r="A24" s="59"/>
      <c r="B24" s="225"/>
      <c r="C24" s="19">
        <f>$C$8*
(SIGN($F23)+SIGN($G23)+SIGN($H23)+SIGN($I23)
+SIGN($J23)+SIGN($K23)+SIGN($L23)+SIGN($M23)
+SIGN($N23)+SIGN($O23)+SIGN($P23)+SIGN($Q23)
+SIGN($R23)+SIGN($S23)+SIGN($T23))</f>
        <v>3</v>
      </c>
      <c r="D24" s="20">
        <f>$B23-$C24-$C$7*
(ROUNDDOWN(($F23-$C$8)/$C$7,0)+ROUNDDOWN(($G23-$C$8)/$C$7,0)
+ROUNDDOWN(($H23-$C$8)/$C$7,0)+ROUNDDOWN(($I23-$C$8)/$C$7,0)
+ROUNDDOWN(($J23-$C$8)/$C$7,0)+ROUNDDOWN(($K23-$C$8)/$C$7,0)
+ROUNDDOWN(($L23-$C$8)/$C$7,0)+ROUNDDOWN(($M23-$C$8)/$C$7,0)
+ROUNDDOWN(($N23-$C$8)/$C$7,0)+ROUNDDOWN(($O23-$C$8)/$C$7,0)
+ROUNDDOWN(($P23-$C$8)/$C$7,0)+ROUNDDOWN(($Q23-$C$8)/$C$7,0)
+ROUNDDOWN(($R23-$C$8)/$C$7,0)+ROUNDDOWN(($S23-$C$8)/$C$7,0)
+ROUNDDOWN(($T23-$C$8)/$C$7,0))</f>
        <v>3.9415443919423012</v>
      </c>
      <c r="E24" s="32">
        <f t="shared" si="2"/>
        <v>0</v>
      </c>
      <c r="F24" s="81"/>
      <c r="G24" s="81"/>
      <c r="H24" s="81"/>
      <c r="I24" s="81"/>
      <c r="J24" s="81"/>
      <c r="K24" s="81"/>
      <c r="L24" s="81"/>
      <c r="M24" s="80"/>
      <c r="N24" s="42"/>
      <c r="O24" s="43"/>
      <c r="P24" s="21"/>
      <c r="Q24" s="21"/>
      <c r="R24" s="42"/>
      <c r="S24" s="21"/>
      <c r="T24" s="21"/>
      <c r="U24" s="21"/>
      <c r="V24" s="39"/>
      <c r="W24" s="17"/>
      <c r="X24" s="135"/>
      <c r="Y24" s="135"/>
      <c r="Z24" s="39"/>
      <c r="AA24" s="141"/>
      <c r="AB24" s="135"/>
      <c r="AC24" s="135"/>
      <c r="AD24" s="135"/>
      <c r="AE24" s="135"/>
      <c r="AF24" s="39"/>
    </row>
    <row r="25" spans="1:32" s="12" customFormat="1" ht="16.95" hidden="1" x14ac:dyDescent="0.3">
      <c r="A25" s="59"/>
      <c r="B25" s="224"/>
      <c r="C25" s="23"/>
      <c r="D25" s="24"/>
      <c r="E25" s="32">
        <f t="shared" si="2"/>
        <v>0</v>
      </c>
      <c r="F25" s="82"/>
      <c r="G25" s="79"/>
      <c r="H25" s="79"/>
      <c r="I25" s="79"/>
      <c r="J25" s="79"/>
      <c r="K25" s="79"/>
      <c r="L25" s="83"/>
      <c r="M25" s="84"/>
      <c r="P25" s="38"/>
      <c r="Q25" s="38"/>
      <c r="R25" s="39"/>
      <c r="S25" s="102"/>
      <c r="T25" s="102"/>
      <c r="U25" s="102"/>
      <c r="V25" s="39"/>
      <c r="W25" s="17"/>
      <c r="X25" s="135"/>
      <c r="Y25" s="135"/>
      <c r="Z25" s="39"/>
      <c r="AA25" s="141"/>
      <c r="AB25" s="135"/>
      <c r="AC25" s="135"/>
      <c r="AD25" s="135"/>
      <c r="AE25" s="135"/>
      <c r="AF25" s="39"/>
    </row>
    <row r="26" spans="1:32" s="12" customFormat="1" ht="18.899999999999999" x14ac:dyDescent="0.35">
      <c r="A26" s="60">
        <f>Лист1!K$3</f>
        <v>9.5</v>
      </c>
      <c r="B26" s="224">
        <f>Лист1!K$16</f>
        <v>262.77163019149464</v>
      </c>
      <c r="C26" s="14">
        <f>($B26-$C$7* (
  ROUNDDOWN(($F26-$C$8)/$C$7,0) +  ROUNDDOWN(($G26-$C$8)/$C$7,0)
+ROUNDDOWN(($H26-$C$8)/$C$7,0) + ROUNDDOWN(($I26-$C$8)/$C$7,0)
+ROUNDDOWN(($J26-$C$8)/$C$7,0) +  ROUNDDOWN(($K26-$C$8)/$C$7,0)
+ROUNDDOWN(($L26-$C$8)/$C$7,0) +  ROUNDDOWN(($M26-$C$8)/$C$7,0)
+ROUNDDOWN(($N26-$C$8)/$C$7,0) + ROUNDDOWN(($O26-$C$8)/$C$7,0)
+ROUNDDOWN(($P26-$C$8)/$C$7,0) +  ROUNDDOWN(($Q26-$C$8)/$C$7,0)
+ROUNDDOWN(($R26-$C$8)/$C$7,0) +  ROUNDDOWN(($S26-$C$8)/$C$7,0)
+ROUNDDOWN(($T26-$C$8)/$C$7,0))   ) / $B26 * 100</f>
        <v>3.3000633231126204</v>
      </c>
      <c r="D26" s="15">
        <f>C26-E26</f>
        <v>1.1416757576964276</v>
      </c>
      <c r="E26" s="32">
        <f t="shared" si="2"/>
        <v>2.1583875654161928</v>
      </c>
      <c r="F26" s="78">
        <v>85.7</v>
      </c>
      <c r="G26" s="79">
        <v>85.7</v>
      </c>
      <c r="H26" s="79">
        <v>94.025903320312494</v>
      </c>
      <c r="I26" s="79"/>
      <c r="J26" s="79"/>
      <c r="K26" s="79"/>
      <c r="L26" s="79"/>
      <c r="M26" s="80"/>
      <c r="N26" s="41"/>
      <c r="O26" s="38"/>
      <c r="P26" s="38"/>
      <c r="Q26" s="38"/>
      <c r="R26" s="39"/>
      <c r="S26" s="102"/>
      <c r="T26" s="102"/>
      <c r="U26" s="102"/>
      <c r="V26" s="39"/>
      <c r="W26" s="17">
        <f>SUM(F26:T26)</f>
        <v>265.4259033203125</v>
      </c>
      <c r="X26" s="96">
        <v>21</v>
      </c>
      <c r="Y26" s="96">
        <v>2</v>
      </c>
      <c r="Z26" s="39">
        <v>21.4259033203125</v>
      </c>
      <c r="AA26" s="141">
        <v>33.5740966796875</v>
      </c>
      <c r="AB26" s="135">
        <v>3</v>
      </c>
      <c r="AC26" s="135">
        <v>5</v>
      </c>
      <c r="AD26" s="135">
        <v>2</v>
      </c>
      <c r="AE26" s="135">
        <v>2</v>
      </c>
      <c r="AF26" s="39">
        <v>36.299999999999997</v>
      </c>
    </row>
    <row r="27" spans="1:32" s="12" customFormat="1" ht="16.95" hidden="1" x14ac:dyDescent="0.3">
      <c r="A27" s="59"/>
      <c r="B27" s="224"/>
      <c r="C27" s="19">
        <f>$C$8*
(SIGN($F26)+SIGN($G26)+SIGN($H26)+SIGN($I26)
+SIGN($J26)+SIGN($K26)+SIGN($L26)+SIGN($M26)
+SIGN($N26)+SIGN($O26)+SIGN($P26)+SIGN($Q26)
+SIGN($R26)+SIGN($S26)+SIGN($T26))</f>
        <v>3</v>
      </c>
      <c r="D27" s="20">
        <f>$B26-$C27-$C$7*
(ROUNDDOWN(($F26-$C$8)/$C$7,0)+ROUNDDOWN(($G26-$C$8)/$C$7,0)
+ROUNDDOWN(($H26-$C$8)/$C$7,0)+ROUNDDOWN(($I26-$C$8)/$C$7,0)
+ROUNDDOWN(($J26-$C$8)/$C$7,0)+ROUNDDOWN(($K26-$C$8)/$C$7,0)
+ROUNDDOWN(($L26-$C$8)/$C$7,0)+ROUNDDOWN(($M26-$C$8)/$C$7,0)
+ROUNDDOWN(($N26-$C$8)/$C$7,0)+ROUNDDOWN(($O26-$C$8)/$C$7,0)
+ROUNDDOWN(($P26-$C$8)/$C$7,0)+ROUNDDOWN(($Q26-$C$8)/$C$7,0)
+ROUNDDOWN(($R26-$C$8)/$C$7,0)+ROUNDDOWN(($S26-$C$8)/$C$7,0)
+ROUNDDOWN(($T26-$C$8)/$C$7,0))</f>
        <v>5.6716301914946428</v>
      </c>
      <c r="E27" s="32">
        <f t="shared" si="2"/>
        <v>0</v>
      </c>
      <c r="F27" s="81"/>
      <c r="G27" s="81"/>
      <c r="H27" s="81"/>
      <c r="I27" s="81"/>
      <c r="J27" s="81"/>
      <c r="K27" s="81"/>
      <c r="L27" s="81"/>
      <c r="M27" s="80"/>
      <c r="N27" s="42"/>
      <c r="O27" s="43"/>
      <c r="P27" s="21"/>
      <c r="Q27" s="21"/>
      <c r="R27" s="42"/>
      <c r="S27" s="21"/>
      <c r="T27" s="21"/>
      <c r="U27" s="21"/>
      <c r="V27" s="39"/>
      <c r="W27" s="17"/>
      <c r="X27" s="135"/>
      <c r="Y27" s="135"/>
      <c r="Z27" s="39"/>
      <c r="AA27" s="39"/>
      <c r="AB27" s="135"/>
      <c r="AC27" s="135"/>
      <c r="AD27" s="135"/>
      <c r="AE27" s="135"/>
      <c r="AF27" s="39"/>
    </row>
    <row r="28" spans="1:32" s="12" customFormat="1" ht="16.95" hidden="1" x14ac:dyDescent="0.3">
      <c r="A28" s="59"/>
      <c r="B28" s="224"/>
      <c r="C28" s="23"/>
      <c r="D28" s="24"/>
      <c r="E28" s="32">
        <f t="shared" si="2"/>
        <v>0</v>
      </c>
      <c r="F28" s="82"/>
      <c r="G28" s="79"/>
      <c r="H28" s="79"/>
      <c r="I28" s="79"/>
      <c r="J28" s="79"/>
      <c r="K28" s="79"/>
      <c r="L28" s="83"/>
      <c r="M28" s="84"/>
      <c r="P28" s="38"/>
      <c r="Q28" s="38"/>
      <c r="R28" s="39"/>
      <c r="S28" s="102"/>
      <c r="T28" s="102"/>
      <c r="U28" s="102"/>
      <c r="V28" s="39"/>
      <c r="W28" s="17"/>
      <c r="X28" s="135"/>
      <c r="Y28" s="135"/>
      <c r="Z28" s="39"/>
      <c r="AA28" s="39"/>
      <c r="AB28" s="135"/>
      <c r="AC28" s="135"/>
      <c r="AD28" s="135"/>
      <c r="AE28" s="135"/>
      <c r="AF28" s="39"/>
    </row>
    <row r="29" spans="1:32" s="12" customFormat="1" ht="18.899999999999999" x14ac:dyDescent="0.35">
      <c r="A29" s="60">
        <f>Лист1!L$3</f>
        <v>10</v>
      </c>
      <c r="B29" s="224">
        <f>Лист1!L$16</f>
        <v>276.601715991047</v>
      </c>
      <c r="C29" s="14">
        <f>($B29-$C$7* (
  ROUNDDOWN(($F29-$C$8)/$C$7,0) +  ROUNDDOWN(($G29-$C$8)/$C$7,0)
+ROUNDDOWN(($H29-$C$8)/$C$7,0) + ROUNDDOWN(($I29-$C$8)/$C$7,0)
+ROUNDDOWN(($J29-$C$8)/$C$7,0) +  ROUNDDOWN(($K29-$C$8)/$C$7,0)
+ROUNDDOWN(($L29-$C$8)/$C$7,0) +  ROUNDDOWN(($M29-$C$8)/$C$7,0)
+ROUNDDOWN(($N29-$C$8)/$C$7,0) + ROUNDDOWN(($O29-$C$8)/$C$7,0)
+ROUNDDOWN(($P29-$C$8)/$C$7,0) +  ROUNDDOWN(($Q29-$C$8)/$C$7,0)
+ROUNDDOWN(($R29-$C$8)/$C$7,0) +  ROUNDDOWN(($S29-$C$8)/$C$7,0)
+ROUNDDOWN(($T29-$C$8)/$C$7,0))   ) / $B29 * 100</f>
        <v>3.7605392120501859</v>
      </c>
      <c r="D29" s="15">
        <f>C29-E29</f>
        <v>1.0845919698116058</v>
      </c>
      <c r="E29" s="32">
        <f t="shared" si="2"/>
        <v>2.6759472422385802</v>
      </c>
      <c r="F29" s="78">
        <v>97.8</v>
      </c>
      <c r="G29" s="79">
        <v>85.7</v>
      </c>
      <c r="H29" s="79">
        <v>95.895660400390625</v>
      </c>
      <c r="I29" s="79"/>
      <c r="J29" s="79"/>
      <c r="K29" s="79"/>
      <c r="L29" s="79"/>
      <c r="M29" s="80"/>
      <c r="N29" s="41"/>
      <c r="O29" s="38"/>
      <c r="P29" s="38"/>
      <c r="Q29" s="38"/>
      <c r="R29" s="39"/>
      <c r="S29" s="102"/>
      <c r="T29" s="102"/>
      <c r="U29" s="102"/>
      <c r="V29" s="39"/>
      <c r="W29" s="17">
        <f>SUM(F29:T29)</f>
        <v>279.39566040039063</v>
      </c>
      <c r="X29" s="140">
        <v>23</v>
      </c>
      <c r="Y29" s="140">
        <v>2</v>
      </c>
      <c r="Z29" s="39">
        <v>35.395660400390625</v>
      </c>
      <c r="AA29" s="39">
        <v>19.604339599609375</v>
      </c>
      <c r="AB29" s="135">
        <v>2</v>
      </c>
      <c r="AC29" s="135">
        <v>5</v>
      </c>
      <c r="AD29" s="135">
        <v>1</v>
      </c>
      <c r="AE29" s="135">
        <v>2</v>
      </c>
      <c r="AF29" s="39">
        <v>36.299999999999997</v>
      </c>
    </row>
    <row r="30" spans="1:32" s="12" customFormat="1" ht="18.899999999999999" hidden="1" x14ac:dyDescent="0.35">
      <c r="A30" s="60"/>
      <c r="B30" s="224"/>
      <c r="C30" s="19">
        <f>$C$8*
(SIGN($F29)+SIGN($G29)+SIGN($H29)+SIGN($I29)
+SIGN($J29)+SIGN($K29)+SIGN($L29)+SIGN($M29)
+SIGN($N29)+SIGN($O29)+SIGN($P29)+SIGN($Q29)
+SIGN($R29)+SIGN($S29)+SIGN($T29))</f>
        <v>3</v>
      </c>
      <c r="D30" s="20">
        <f>$B29-$C30-$C$7*
(ROUNDDOWN(($F29-$C$8)/$C$7,0)+ROUNDDOWN(($G29-$C$8)/$C$7,0)
+ROUNDDOWN(($H29-$C$8)/$C$7,0)+ROUNDDOWN(($I29-$C$8)/$C$7,0)
+ROUNDDOWN(($J29-$C$8)/$C$7,0)+ROUNDDOWN(($K29-$C$8)/$C$7,0)
+ROUNDDOWN(($L29-$C$8)/$C$7,0)+ROUNDDOWN(($M29-$C$8)/$C$7,0)
+ROUNDDOWN(($N29-$C$8)/$C$7,0)+ROUNDDOWN(($O29-$C$8)/$C$7,0)
+ROUNDDOWN(($P29-$C$8)/$C$7,0)+ROUNDDOWN(($Q29-$C$8)/$C$7,0)
+ROUNDDOWN(($R29-$C$8)/$C$7,0)+ROUNDDOWN(($S29-$C$8)/$C$7,0)
+ROUNDDOWN(($T29-$C$8)/$C$7,0))</f>
        <v>7.4017159910470127</v>
      </c>
      <c r="E30" s="32">
        <f t="shared" si="2"/>
        <v>0</v>
      </c>
      <c r="F30" s="81"/>
      <c r="G30" s="81"/>
      <c r="H30" s="81"/>
      <c r="I30" s="81"/>
      <c r="J30" s="81"/>
      <c r="K30" s="81"/>
      <c r="L30" s="81"/>
      <c r="M30" s="80"/>
      <c r="N30" s="42"/>
      <c r="O30" s="43"/>
      <c r="P30" s="21"/>
      <c r="Q30" s="21"/>
      <c r="R30" s="42"/>
      <c r="S30" s="21"/>
      <c r="T30" s="21"/>
      <c r="U30" s="21"/>
      <c r="V30" s="39"/>
      <c r="W30" s="17"/>
      <c r="X30" s="135"/>
      <c r="Y30" s="135"/>
      <c r="Z30" s="39"/>
      <c r="AA30" s="39"/>
      <c r="AB30" s="135"/>
      <c r="AC30" s="135"/>
      <c r="AD30" s="135"/>
      <c r="AE30" s="135"/>
      <c r="AF30" s="39"/>
    </row>
    <row r="31" spans="1:32" s="12" customFormat="1" ht="18.899999999999999" hidden="1" x14ac:dyDescent="0.35">
      <c r="A31" s="60"/>
      <c r="B31" s="224"/>
      <c r="C31" s="23"/>
      <c r="D31" s="24"/>
      <c r="E31" s="32">
        <f t="shared" si="2"/>
        <v>0</v>
      </c>
      <c r="F31" s="82"/>
      <c r="G31" s="79"/>
      <c r="H31" s="79"/>
      <c r="I31" s="79"/>
      <c r="J31" s="79"/>
      <c r="K31" s="79"/>
      <c r="L31" s="83"/>
      <c r="M31" s="84"/>
      <c r="P31" s="38"/>
      <c r="Q31" s="38"/>
      <c r="R31" s="39"/>
      <c r="S31" s="102"/>
      <c r="T31" s="102"/>
      <c r="U31" s="102"/>
      <c r="V31" s="39"/>
      <c r="W31" s="17"/>
      <c r="X31" s="135"/>
      <c r="Y31" s="135"/>
      <c r="Z31" s="39"/>
      <c r="AA31" s="39"/>
      <c r="AB31" s="135"/>
      <c r="AC31" s="135"/>
      <c r="AD31" s="135"/>
      <c r="AE31" s="135"/>
      <c r="AF31" s="39"/>
    </row>
    <row r="32" spans="1:32" s="12" customFormat="1" ht="18.899999999999999" x14ac:dyDescent="0.35">
      <c r="A32" s="60">
        <f>Лист1!M$3</f>
        <v>10.5</v>
      </c>
      <c r="B32" s="224">
        <f>Лист1!M$16</f>
        <v>290.43180179059937</v>
      </c>
      <c r="C32" s="14">
        <f>($B32-$C$7* (
  ROUNDDOWN(($F32-$C$8)/$C$7,0) +  ROUNDDOWN(($G32-$C$8)/$C$7,0)
+ROUNDDOWN(($H32-$C$8)/$C$7,0) + ROUNDDOWN(($I32-$C$8)/$C$7,0)
+ROUNDDOWN(($J32-$C$8)/$C$7,0) +  ROUNDDOWN(($K32-$C$8)/$C$7,0)
+ROUNDDOWN(($L32-$C$8)/$C$7,0) +  ROUNDDOWN(($M32-$C$8)/$C$7,0)
+ROUNDDOWN(($N32-$C$8)/$C$7,0) + ROUNDDOWN(($O32-$C$8)/$C$7,0)
+ROUNDDOWN(($P32-$C$8)/$C$7,0) +  ROUNDDOWN(($Q32-$C$8)/$C$7,0)
+ROUNDDOWN(($R32-$C$8)/$C$7,0) +  ROUNDDOWN(($S32-$C$8)/$C$7,0)
+ROUNDDOWN(($T32-$C$8)/$C$7,0))   ) / $B32 * 100</f>
        <v>4.1771602544222599</v>
      </c>
      <c r="D32" s="15">
        <f>C32-E32</f>
        <v>1.0329447331539106</v>
      </c>
      <c r="E32" s="32">
        <f t="shared" si="2"/>
        <v>3.1442155212683494</v>
      </c>
      <c r="F32" s="78">
        <v>109.9</v>
      </c>
      <c r="G32" s="79">
        <v>97.8</v>
      </c>
      <c r="H32" s="79">
        <v>85.665447998046886</v>
      </c>
      <c r="I32" s="79"/>
      <c r="J32" s="79"/>
      <c r="K32" s="79"/>
      <c r="L32" s="79"/>
      <c r="M32" s="80"/>
      <c r="N32" s="41"/>
      <c r="O32" s="38"/>
      <c r="P32" s="38"/>
      <c r="Q32" s="38"/>
      <c r="R32" s="39"/>
      <c r="S32" s="102"/>
      <c r="T32" s="102"/>
      <c r="U32" s="102"/>
      <c r="V32" s="39"/>
      <c r="W32" s="17">
        <f>SUM(F32:T32)</f>
        <v>293.36544799804688</v>
      </c>
      <c r="X32" s="96">
        <v>24</v>
      </c>
      <c r="Y32" s="96">
        <v>2</v>
      </c>
      <c r="Z32" s="39">
        <v>49.365447998046875</v>
      </c>
      <c r="AA32" s="39">
        <v>5.634552001953125</v>
      </c>
      <c r="AB32" s="135">
        <v>1</v>
      </c>
      <c r="AC32" s="135">
        <v>5</v>
      </c>
      <c r="AD32" s="135">
        <v>1</v>
      </c>
      <c r="AE32" s="135">
        <v>2</v>
      </c>
      <c r="AF32" s="39">
        <v>24.2</v>
      </c>
    </row>
    <row r="33" spans="1:32" s="12" customFormat="1" ht="18.899999999999999" hidden="1" x14ac:dyDescent="0.35">
      <c r="A33" s="60"/>
      <c r="B33" s="224"/>
      <c r="C33" s="19">
        <f>$C$8*
(SIGN($F32)+SIGN($G32)+SIGN($H32)+SIGN($I32)
+SIGN($J32)+SIGN($K32)+SIGN($L32)+SIGN($M32)
+SIGN($N32)+SIGN($O32)+SIGN($P32)+SIGN($Q32)
+SIGN($R32)+SIGN($S32)+SIGN($T32))</f>
        <v>3</v>
      </c>
      <c r="D33" s="20">
        <f>$B32-$C33-$C$7*
(ROUNDDOWN(($F32-$C$8)/$C$7,0)+ROUNDDOWN(($G32-$C$8)/$C$7,0)
+ROUNDDOWN(($H32-$C$8)/$C$7,0)+ROUNDDOWN(($I32-$C$8)/$C$7,0)
+ROUNDDOWN(($J32-$C$8)/$C$7,0)+ROUNDDOWN(($K32-$C$8)/$C$7,0)
+ROUNDDOWN(($L32-$C$8)/$C$7,0)+ROUNDDOWN(($M32-$C$8)/$C$7,0)
+ROUNDDOWN(($N32-$C$8)/$C$7,0)+ROUNDDOWN(($O32-$C$8)/$C$7,0)
+ROUNDDOWN(($P32-$C$8)/$C$7,0)+ROUNDDOWN(($Q32-$C$8)/$C$7,0)
+ROUNDDOWN(($R32-$C$8)/$C$7,0)+ROUNDDOWN(($S32-$C$8)/$C$7,0)
+ROUNDDOWN(($T32-$C$8)/$C$7,0))</f>
        <v>9.1318017905993543</v>
      </c>
      <c r="E33" s="32">
        <f t="shared" si="2"/>
        <v>0</v>
      </c>
      <c r="F33" s="81"/>
      <c r="G33" s="81"/>
      <c r="H33" s="81"/>
      <c r="I33" s="81"/>
      <c r="J33" s="81"/>
      <c r="K33" s="81"/>
      <c r="L33" s="81"/>
      <c r="M33" s="80"/>
      <c r="N33" s="42"/>
      <c r="O33" s="43"/>
      <c r="P33" s="21"/>
      <c r="Q33" s="21"/>
      <c r="R33" s="42"/>
      <c r="S33" s="21"/>
      <c r="T33" s="21"/>
      <c r="U33" s="21"/>
      <c r="V33" s="39"/>
      <c r="W33" s="17"/>
      <c r="X33" s="135"/>
      <c r="Y33" s="135"/>
      <c r="Z33" s="39"/>
      <c r="AA33" s="39"/>
      <c r="AB33" s="135"/>
      <c r="AC33" s="135"/>
      <c r="AD33" s="135"/>
      <c r="AE33" s="135"/>
      <c r="AF33" s="39"/>
    </row>
    <row r="34" spans="1:32" s="12" customFormat="1" ht="18.899999999999999" hidden="1" x14ac:dyDescent="0.35">
      <c r="A34" s="60"/>
      <c r="B34" s="224"/>
      <c r="C34" s="23"/>
      <c r="D34" s="24"/>
      <c r="E34" s="32">
        <f t="shared" si="2"/>
        <v>0</v>
      </c>
      <c r="F34" s="82"/>
      <c r="G34" s="79"/>
      <c r="H34" s="79"/>
      <c r="I34" s="79"/>
      <c r="J34" s="79"/>
      <c r="K34" s="79"/>
      <c r="L34" s="79"/>
      <c r="M34" s="84"/>
      <c r="P34" s="38"/>
      <c r="Q34" s="38"/>
      <c r="R34" s="39"/>
      <c r="S34" s="102"/>
      <c r="T34" s="102"/>
      <c r="U34" s="102"/>
      <c r="V34" s="39"/>
      <c r="W34" s="17"/>
      <c r="X34" s="135"/>
      <c r="Y34" s="135"/>
      <c r="Z34" s="39"/>
      <c r="AA34" s="39"/>
      <c r="AB34" s="135"/>
      <c r="AC34" s="135"/>
      <c r="AD34" s="135"/>
      <c r="AE34" s="135"/>
      <c r="AF34" s="39"/>
    </row>
    <row r="35" spans="1:32" s="12" customFormat="1" ht="18.899999999999999" x14ac:dyDescent="0.35">
      <c r="A35" s="60">
        <f>Лист1!N$3</f>
        <v>11</v>
      </c>
      <c r="B35" s="224">
        <f>Лист1!N$16</f>
        <v>304.26188759015167</v>
      </c>
      <c r="C35" s="14">
        <f>($B35-$C$7* (
  ROUNDDOWN(($F35-$C$8)/$C$7,0) +  ROUNDDOWN(($G35-$C$8)/$C$7,0)
+ROUNDDOWN(($H35-$C$8)/$C$7,0) + ROUNDDOWN(($I35-$C$8)/$C$7,0)
+ROUNDDOWN(($J35-$C$8)/$C$7,0) +  ROUNDDOWN(($K35-$C$8)/$C$7,0)
+ROUNDDOWN(($L35-$C$8)/$C$7,0) +  ROUNDDOWN(($M35-$C$8)/$C$7,0)
+ROUNDDOWN(($N35-$C$8)/$C$7,0) + ROUNDDOWN(($O35-$C$8)/$C$7,0)
+ROUNDDOWN(($P35-$C$8)/$C$7,0) +  ROUNDDOWN(($Q35-$C$8)/$C$7,0)
+ROUNDDOWN(($R35-$C$8)/$C$7,0) +  ROUNDDOWN(($S35-$C$8)/$C$7,0)
+ROUNDDOWN(($T35-$C$8)/$C$7,0))   ) / $B35 * 100</f>
        <v>0.5790694339361292</v>
      </c>
      <c r="D35" s="15">
        <f>C35-E35</f>
        <v>0.5790694339361292</v>
      </c>
      <c r="E35" s="32">
        <f t="shared" si="2"/>
        <v>0</v>
      </c>
      <c r="F35" s="78">
        <v>109.9</v>
      </c>
      <c r="G35" s="79">
        <v>109.9</v>
      </c>
      <c r="H35" s="79">
        <v>87.535235595703114</v>
      </c>
      <c r="I35" s="79"/>
      <c r="J35" s="79"/>
      <c r="K35" s="79"/>
      <c r="L35" s="79"/>
      <c r="M35" s="80"/>
      <c r="N35" s="41"/>
      <c r="O35" s="38"/>
      <c r="P35" s="38"/>
      <c r="Q35" s="38"/>
      <c r="R35" s="39"/>
      <c r="S35" s="102"/>
      <c r="T35" s="102"/>
      <c r="U35" s="102"/>
      <c r="V35" s="39"/>
      <c r="W35" s="17">
        <f>SUM(F35:T35)</f>
        <v>307.33523559570313</v>
      </c>
      <c r="X35" s="96">
        <v>25</v>
      </c>
      <c r="Y35" s="96">
        <v>2</v>
      </c>
      <c r="Z35" s="39">
        <v>63.335235595703125</v>
      </c>
      <c r="AA35" s="39"/>
      <c r="AB35" s="135"/>
      <c r="AC35" s="135">
        <v>5</v>
      </c>
      <c r="AD35" s="135">
        <v>1</v>
      </c>
      <c r="AE35" s="135">
        <v>2</v>
      </c>
      <c r="AF35" s="39">
        <v>24.2</v>
      </c>
    </row>
    <row r="36" spans="1:32" s="12" customFormat="1" ht="18.899999999999999" hidden="1" x14ac:dyDescent="0.35">
      <c r="A36" s="60"/>
      <c r="B36" s="224"/>
      <c r="C36" s="19">
        <f>$C$8*
(SIGN($F35)+SIGN($G35)+SIGN($H35)+SIGN($I35)
+SIGN($J35)+SIGN($K35)+SIGN($L35)+SIGN($M35)
+SIGN($N35)+SIGN($O35)+SIGN($P35)+SIGN($Q35)
+SIGN($R35)+SIGN($S35)+SIGN($T35))</f>
        <v>3</v>
      </c>
      <c r="D36" s="20">
        <f>$B35-$C36-$C$7*
(ROUNDDOWN(($F35-$C$8)/$C$7,0)+ROUNDDOWN(($G35-$C$8)/$C$7,0)
+ROUNDDOWN(($H35-$C$8)/$C$7,0)+ROUNDDOWN(($I35-$C$8)/$C$7,0)
+ROUNDDOWN(($J35-$C$8)/$C$7,0)+ROUNDDOWN(($K35-$C$8)/$C$7,0)
+ROUNDDOWN(($L35-$C$8)/$C$7,0)+ROUNDDOWN(($M35-$C$8)/$C$7,0)
+ROUNDDOWN(($N35-$C$8)/$C$7,0)+ROUNDDOWN(($O35-$C$8)/$C$7,0)
+ROUNDDOWN(($P35-$C$8)/$C$7,0)+ROUNDDOWN(($Q35-$C$8)/$C$7,0)
+ROUNDDOWN(($R35-$C$8)/$C$7,0)+ROUNDDOWN(($S35-$C$8)/$C$7,0)
+ROUNDDOWN(($T35-$C$8)/$C$7,0))</f>
        <v>-1.2381124098483269</v>
      </c>
      <c r="E36" s="32">
        <f t="shared" si="2"/>
        <v>0</v>
      </c>
      <c r="F36" s="81"/>
      <c r="G36" s="81"/>
      <c r="H36" s="81"/>
      <c r="I36" s="81"/>
      <c r="J36" s="81"/>
      <c r="K36" s="81"/>
      <c r="L36" s="81"/>
      <c r="M36" s="80"/>
      <c r="N36" s="42"/>
      <c r="O36" s="43"/>
      <c r="P36" s="21"/>
      <c r="Q36" s="21"/>
      <c r="R36" s="42"/>
      <c r="S36" s="21"/>
      <c r="T36" s="21"/>
      <c r="U36" s="21"/>
      <c r="V36" s="39"/>
      <c r="W36" s="17"/>
      <c r="X36" s="135"/>
      <c r="Y36" s="135"/>
      <c r="Z36" s="39"/>
      <c r="AA36" s="39"/>
      <c r="AB36" s="135"/>
      <c r="AC36" s="135"/>
      <c r="AD36" s="135"/>
      <c r="AE36" s="135"/>
      <c r="AF36" s="39"/>
    </row>
    <row r="37" spans="1:32" s="12" customFormat="1" ht="18.899999999999999" hidden="1" x14ac:dyDescent="0.35">
      <c r="A37" s="60"/>
      <c r="B37" s="224"/>
      <c r="C37" s="23"/>
      <c r="D37" s="24"/>
      <c r="E37" s="32">
        <f t="shared" si="2"/>
        <v>0</v>
      </c>
      <c r="F37" s="82"/>
      <c r="G37" s="79"/>
      <c r="H37" s="79"/>
      <c r="I37" s="79"/>
      <c r="J37" s="79"/>
      <c r="K37" s="79"/>
      <c r="L37" s="79"/>
      <c r="M37" s="84"/>
      <c r="P37" s="38"/>
      <c r="Q37" s="38"/>
      <c r="R37" s="39"/>
      <c r="S37" s="102"/>
      <c r="T37" s="102"/>
      <c r="U37" s="102"/>
      <c r="V37" s="39"/>
      <c r="W37" s="17"/>
      <c r="X37" s="135"/>
      <c r="Y37" s="135"/>
      <c r="Z37" s="39"/>
      <c r="AA37" s="39"/>
      <c r="AB37" s="135"/>
      <c r="AC37" s="135"/>
      <c r="AD37" s="135"/>
      <c r="AE37" s="135"/>
      <c r="AF37" s="39"/>
    </row>
    <row r="38" spans="1:32" s="12" customFormat="1" ht="18.899999999999999" x14ac:dyDescent="0.35">
      <c r="A38" s="60">
        <f>Лист1!O$3</f>
        <v>11.2</v>
      </c>
      <c r="B38" s="224">
        <f>Лист1!O$16</f>
        <v>309.7939219099726</v>
      </c>
      <c r="C38" s="14">
        <f>($B38-$C$7* (
  ROUNDDOWN(($F38-$C$8)/$C$7,0) +  ROUNDDOWN(($G38-$C$8)/$C$7,0)
+ROUNDDOWN(($H38-$C$8)/$C$7,0) + ROUNDDOWN(($I38-$C$8)/$C$7,0)
+ROUNDDOWN(($J38-$C$8)/$C$7,0) +  ROUNDDOWN(($K38-$C$8)/$C$7,0)
+ROUNDDOWN(($L38-$C$8)/$C$7,0) +  ROUNDDOWN(($M38-$C$8)/$C$7,0)
+ROUNDDOWN(($N38-$C$8)/$C$7,0) + ROUNDDOWN(($O38-$C$8)/$C$7,0)
+ROUNDDOWN(($P38-$C$8)/$C$7,0) +  ROUNDDOWN(($Q38-$C$8)/$C$7,0)
+ROUNDDOWN(($R38-$C$8)/$C$7,0) +  ROUNDDOWN(($S38-$C$8)/$C$7,0)
+ROUNDDOWN(($T38-$C$8)/$C$7,0))   ) / $B38 * 100</f>
        <v>2.3544431940444075</v>
      </c>
      <c r="D38" s="15">
        <f>C38-E38</f>
        <v>0.96838568733179109</v>
      </c>
      <c r="E38" s="32">
        <f t="shared" si="2"/>
        <v>1.3860575067126164</v>
      </c>
      <c r="F38" s="78">
        <v>109.9</v>
      </c>
      <c r="G38" s="79">
        <v>109.9</v>
      </c>
      <c r="H38" s="79">
        <v>93.123156738281239</v>
      </c>
      <c r="I38" s="79"/>
      <c r="J38" s="79"/>
      <c r="K38" s="79"/>
      <c r="L38" s="79"/>
      <c r="M38" s="80"/>
      <c r="N38" s="41"/>
      <c r="O38" s="38"/>
      <c r="P38" s="38"/>
      <c r="Q38" s="38"/>
      <c r="R38" s="39"/>
      <c r="S38" s="102"/>
      <c r="T38" s="102"/>
      <c r="U38" s="102"/>
      <c r="V38" s="39"/>
      <c r="W38" s="17">
        <f>SUM(F38:T38)</f>
        <v>312.92315673828125</v>
      </c>
      <c r="X38" s="135">
        <v>25</v>
      </c>
      <c r="Y38" s="135">
        <v>2</v>
      </c>
      <c r="Z38" s="39">
        <v>68.92315673828125</v>
      </c>
      <c r="AA38" s="39"/>
      <c r="AB38" s="135"/>
      <c r="AC38" s="135">
        <v>5</v>
      </c>
      <c r="AD38" s="135">
        <v>1</v>
      </c>
      <c r="AE38" s="135">
        <v>2</v>
      </c>
      <c r="AF38" s="39">
        <v>24.2</v>
      </c>
    </row>
    <row r="39" spans="1:32" s="12" customFormat="1" ht="18.899999999999999" hidden="1" x14ac:dyDescent="0.35">
      <c r="A39" s="60"/>
      <c r="B39" s="224"/>
      <c r="C39" s="19">
        <f>$C$8*
(SIGN($F38)+SIGN($G38)+SIGN($H38)+SIGN($I38)
+SIGN($J38)+SIGN($K38)+SIGN($L38)+SIGN($M38)
+SIGN($N38)+SIGN($O38)+SIGN($P38)+SIGN($Q38)
+SIGN($R38)+SIGN($S38)+SIGN($T38))</f>
        <v>3</v>
      </c>
      <c r="D39" s="20">
        <f>$B38-$C39-$C$7*
(ROUNDDOWN(($F38-$C$8)/$C$7,0)+ROUNDDOWN(($G38-$C$8)/$C$7,0)
+ROUNDDOWN(($H38-$C$8)/$C$7,0)+ROUNDDOWN(($I38-$C$8)/$C$7,0)
+ROUNDDOWN(($J38-$C$8)/$C$7,0)+ROUNDDOWN(($K38-$C$8)/$C$7,0)
+ROUNDDOWN(($L38-$C$8)/$C$7,0)+ROUNDDOWN(($M38-$C$8)/$C$7,0)
+ROUNDDOWN(($N38-$C$8)/$C$7,0)+ROUNDDOWN(($O38-$C$8)/$C$7,0)
+ROUNDDOWN(($P38-$C$8)/$C$7,0)+ROUNDDOWN(($Q38-$C$8)/$C$7,0)
+ROUNDDOWN(($R38-$C$8)/$C$7,0)+ROUNDDOWN(($S38-$C$8)/$C$7,0)
+ROUNDDOWN(($T38-$C$8)/$C$7,0))</f>
        <v>4.293921909972596</v>
      </c>
      <c r="E39" s="32">
        <f t="shared" si="2"/>
        <v>0</v>
      </c>
      <c r="F39" s="81"/>
      <c r="G39" s="81"/>
      <c r="H39" s="81"/>
      <c r="I39" s="81"/>
      <c r="J39" s="81"/>
      <c r="K39" s="81"/>
      <c r="L39" s="81"/>
      <c r="M39" s="80"/>
      <c r="N39" s="42"/>
      <c r="O39" s="43"/>
      <c r="P39" s="21"/>
      <c r="Q39" s="21"/>
      <c r="R39" s="42"/>
      <c r="S39" s="21"/>
      <c r="T39" s="21"/>
      <c r="U39" s="21"/>
      <c r="V39" s="39"/>
      <c r="W39" s="17"/>
      <c r="X39" s="135"/>
      <c r="Y39" s="135"/>
      <c r="Z39" s="39"/>
      <c r="AA39" s="39"/>
      <c r="AB39" s="135"/>
      <c r="AC39" s="135"/>
      <c r="AD39" s="135"/>
      <c r="AE39" s="135"/>
      <c r="AF39" s="39"/>
    </row>
    <row r="40" spans="1:32" s="12" customFormat="1" ht="18.899999999999999" hidden="1" x14ac:dyDescent="0.35">
      <c r="A40" s="60"/>
      <c r="B40" s="224"/>
      <c r="C40" s="23"/>
      <c r="D40" s="24"/>
      <c r="E40" s="32">
        <f t="shared" si="2"/>
        <v>0</v>
      </c>
      <c r="F40" s="82"/>
      <c r="G40" s="79"/>
      <c r="H40" s="79"/>
      <c r="I40" s="79"/>
      <c r="J40" s="79"/>
      <c r="K40" s="79"/>
      <c r="L40" s="79"/>
      <c r="M40" s="84"/>
      <c r="P40" s="38"/>
      <c r="Q40" s="38"/>
      <c r="R40" s="39"/>
      <c r="S40" s="102"/>
      <c r="T40" s="102"/>
      <c r="U40" s="102"/>
      <c r="V40" s="39"/>
      <c r="W40" s="17"/>
      <c r="X40" s="135"/>
      <c r="Y40" s="135"/>
      <c r="Z40" s="39"/>
      <c r="AA40" s="39"/>
      <c r="AB40" s="135"/>
      <c r="AC40" s="135"/>
      <c r="AD40" s="135"/>
      <c r="AE40" s="135"/>
      <c r="AF40" s="39"/>
    </row>
    <row r="41" spans="1:32" s="12" customFormat="1" ht="18.899999999999999" x14ac:dyDescent="0.35">
      <c r="A41" s="60">
        <f>Лист1!P$3</f>
        <v>11.4</v>
      </c>
      <c r="B41" s="224">
        <f>Лист1!P$16</f>
        <v>315.32595622979358</v>
      </c>
      <c r="C41" s="14">
        <f>($B41-$C$7* (
  ROUNDDOWN(($F41-$C$8)/$C$7,0) +  ROUNDDOWN(($G41-$C$8)/$C$7,0)
+ROUNDDOWN(($H41-$C$8)/$C$7,0) + ROUNDDOWN(($I41-$C$8)/$C$7,0)
+ROUNDDOWN(($J41-$C$8)/$C$7,0) +  ROUNDDOWN(($K41-$C$8)/$C$7,0)
+ROUNDDOWN(($L41-$C$8)/$C$7,0) +  ROUNDDOWN(($M41-$C$8)/$C$7,0)
+ROUNDDOWN(($N41-$C$8)/$C$7,0) + ROUNDDOWN(($O41-$C$8)/$C$7,0)
+ROUNDDOWN(($P41-$C$8)/$C$7,0) +  ROUNDDOWN(($Q41-$C$8)/$C$7,0)
+ROUNDDOWN(($R41-$C$8)/$C$7,0) +  ROUNDDOWN(($S41-$C$8)/$C$7,0)
+ROUNDDOWN(($T41-$C$8)/$C$7,0))   ) / $B41 * 100</f>
        <v>0.2302240635289059</v>
      </c>
      <c r="D41" s="15">
        <f>C41-E41</f>
        <v>0.2302240635289059</v>
      </c>
      <c r="E41" s="32">
        <f t="shared" si="2"/>
        <v>0</v>
      </c>
      <c r="F41" s="78">
        <v>122</v>
      </c>
      <c r="G41" s="79">
        <v>109.9</v>
      </c>
      <c r="H41" s="79">
        <v>86.611077880859369</v>
      </c>
      <c r="I41" s="79"/>
      <c r="J41" s="79"/>
      <c r="K41" s="79"/>
      <c r="L41" s="79"/>
      <c r="M41" s="80"/>
      <c r="N41" s="41"/>
      <c r="O41" s="38"/>
      <c r="P41" s="38"/>
      <c r="Q41" s="38"/>
      <c r="R41" s="39"/>
      <c r="S41" s="102"/>
      <c r="T41" s="102"/>
      <c r="U41" s="102"/>
      <c r="V41" s="39"/>
      <c r="W41" s="17">
        <f>SUM(F41:T41)</f>
        <v>318.51107788085938</v>
      </c>
      <c r="X41" s="135">
        <v>26</v>
      </c>
      <c r="Y41" s="135">
        <v>2</v>
      </c>
      <c r="Z41" s="39">
        <v>74.511077880859375</v>
      </c>
      <c r="AA41" s="39"/>
      <c r="AB41" s="135"/>
      <c r="AC41" s="135">
        <v>5</v>
      </c>
      <c r="AD41" s="135">
        <v>1</v>
      </c>
      <c r="AE41" s="135">
        <v>1</v>
      </c>
      <c r="AF41" s="39">
        <v>12.1</v>
      </c>
    </row>
    <row r="42" spans="1:32" s="12" customFormat="1" ht="18.899999999999999" hidden="1" x14ac:dyDescent="0.35">
      <c r="A42" s="60"/>
      <c r="B42" s="224"/>
      <c r="C42" s="19">
        <f>$C$8*
(SIGN($F41)+SIGN($G41)+SIGN($H41)+SIGN($I41)
+SIGN($J41)+SIGN($K41)+SIGN($L41)+SIGN($M41)
+SIGN($N41)+SIGN($O41)+SIGN($P41)+SIGN($Q41)
+SIGN($R41)+SIGN($S41)+SIGN($T41))</f>
        <v>3</v>
      </c>
      <c r="D42" s="20">
        <f>$B41-$C42-$C$7*
(ROUNDDOWN(($F41-$C$8)/$C$7,0)+ROUNDDOWN(($G41-$C$8)/$C$7,0)
+ROUNDDOWN(($H41-$C$8)/$C$7,0)+ROUNDDOWN(($I41-$C$8)/$C$7,0)
+ROUNDDOWN(($J41-$C$8)/$C$7,0)+ROUNDDOWN(($K41-$C$8)/$C$7,0)
+ROUNDDOWN(($L41-$C$8)/$C$7,0)+ROUNDDOWN(($M41-$C$8)/$C$7,0)
+ROUNDDOWN(($N41-$C$8)/$C$7,0)+ROUNDDOWN(($O41-$C$8)/$C$7,0)
+ROUNDDOWN(($P41-$C$8)/$C$7,0)+ROUNDDOWN(($Q41-$C$8)/$C$7,0)
+ROUNDDOWN(($R41-$C$8)/$C$7,0)+ROUNDDOWN(($S41-$C$8)/$C$7,0)
+ROUNDDOWN(($T41-$C$8)/$C$7,0))</f>
        <v>-2.27404377020639</v>
      </c>
      <c r="E42" s="32">
        <f t="shared" si="2"/>
        <v>0</v>
      </c>
      <c r="F42" s="81"/>
      <c r="G42" s="81"/>
      <c r="H42" s="81"/>
      <c r="I42" s="81"/>
      <c r="J42" s="81"/>
      <c r="K42" s="81"/>
      <c r="L42" s="81"/>
      <c r="M42" s="80"/>
      <c r="N42" s="42"/>
      <c r="O42" s="43"/>
      <c r="P42" s="21"/>
      <c r="Q42" s="21"/>
      <c r="R42" s="42"/>
      <c r="S42" s="21"/>
      <c r="T42" s="21"/>
      <c r="U42" s="21"/>
      <c r="V42" s="39"/>
      <c r="W42" s="17"/>
      <c r="X42" s="135"/>
      <c r="Y42" s="135"/>
      <c r="Z42" s="39"/>
      <c r="AA42" s="39"/>
      <c r="AB42" s="135"/>
      <c r="AC42" s="135"/>
      <c r="AD42" s="135"/>
      <c r="AE42" s="135"/>
      <c r="AF42" s="39"/>
    </row>
    <row r="43" spans="1:32" s="12" customFormat="1" ht="18.899999999999999" hidden="1" x14ac:dyDescent="0.35">
      <c r="A43" s="60"/>
      <c r="B43" s="224"/>
      <c r="C43" s="23"/>
      <c r="D43" s="24"/>
      <c r="E43" s="32">
        <f t="shared" si="2"/>
        <v>0</v>
      </c>
      <c r="F43" s="82"/>
      <c r="G43" s="79"/>
      <c r="H43" s="79"/>
      <c r="I43" s="79"/>
      <c r="J43" s="79"/>
      <c r="K43" s="79"/>
      <c r="L43" s="79"/>
      <c r="M43" s="84"/>
      <c r="P43" s="38"/>
      <c r="Q43" s="38"/>
      <c r="R43" s="39"/>
      <c r="S43" s="102"/>
      <c r="T43" s="102"/>
      <c r="U43" s="102"/>
      <c r="V43" s="39"/>
      <c r="W43" s="17"/>
      <c r="X43" s="135"/>
      <c r="Y43" s="135"/>
      <c r="Z43" s="39"/>
      <c r="AA43" s="39"/>
      <c r="AB43" s="135"/>
      <c r="AC43" s="135"/>
      <c r="AD43" s="135"/>
      <c r="AE43" s="135"/>
      <c r="AF43" s="39"/>
    </row>
    <row r="44" spans="1:32" s="12" customFormat="1" ht="18.899999999999999" x14ac:dyDescent="0.35">
      <c r="A44" s="60">
        <f>Лист1!Q$3</f>
        <v>11.6</v>
      </c>
      <c r="B44" s="226">
        <f>Лист1!Q$16</f>
        <v>320.8579905496145</v>
      </c>
      <c r="C44" s="14">
        <f>($B44-$C$7* (
  ROUNDDOWN(($F44-$C$8)/$C$7,0) +  ROUNDDOWN(($G44-$C$8)/$C$7,0)
+ROUNDDOWN(($H44-$C$8)/$C$7,0) + ROUNDDOWN(($I44-$C$8)/$C$7,0)
+ROUNDDOWN(($J44-$C$8)/$C$7,0) +  ROUNDDOWN(($K44-$C$8)/$C$7,0)
+ROUNDDOWN(($L44-$C$8)/$C$7,0) +  ROUNDDOWN(($M44-$C$8)/$C$7,0)
+ROUNDDOWN(($N44-$C$8)/$C$7,0) + ROUNDDOWN(($O44-$C$8)/$C$7,0)
+ROUNDDOWN(($P44-$C$8)/$C$7,0) +  ROUNDDOWN(($Q44-$C$8)/$C$7,0)
+ROUNDDOWN(($R44-$C$8)/$C$7,0) +  ROUNDDOWN(($S44-$C$8)/$C$7,0)
+ROUNDDOWN(($T44-$C$8)/$C$7,0))   ) / $B44 * 100</f>
        <v>1.9503926141577126</v>
      </c>
      <c r="D44" s="15">
        <f>C44-E44</f>
        <v>0.934993077423798</v>
      </c>
      <c r="E44" s="32">
        <f t="shared" si="2"/>
        <v>1.0153995367339146</v>
      </c>
      <c r="F44" s="85">
        <v>122</v>
      </c>
      <c r="G44" s="82">
        <v>109.9</v>
      </c>
      <c r="H44" s="82">
        <v>92.198968505859369</v>
      </c>
      <c r="I44" s="82"/>
      <c r="J44" s="82"/>
      <c r="K44" s="82"/>
      <c r="L44" s="82"/>
      <c r="M44" s="86"/>
      <c r="N44" s="41"/>
      <c r="O44" s="38"/>
      <c r="P44" s="38"/>
      <c r="Q44" s="38"/>
      <c r="R44" s="39"/>
      <c r="S44" s="102"/>
      <c r="T44" s="102"/>
      <c r="U44" s="102"/>
      <c r="V44" s="199"/>
      <c r="W44" s="28">
        <f>SUM(F44:T44)</f>
        <v>324.09896850585938</v>
      </c>
      <c r="X44" s="135">
        <v>26</v>
      </c>
      <c r="Y44" s="135">
        <v>2</v>
      </c>
      <c r="Z44" s="39">
        <v>80.098968505859375</v>
      </c>
      <c r="AA44" s="39"/>
      <c r="AB44" s="135"/>
      <c r="AC44" s="135">
        <v>5</v>
      </c>
      <c r="AD44" s="135">
        <v>1</v>
      </c>
      <c r="AE44" s="135">
        <v>1</v>
      </c>
      <c r="AF44" s="39">
        <v>12.1</v>
      </c>
    </row>
    <row r="45" spans="1:32" s="12" customFormat="1" ht="18.899999999999999" hidden="1" x14ac:dyDescent="0.35">
      <c r="A45" s="60"/>
      <c r="B45" s="226"/>
      <c r="C45" s="19">
        <f>$C$8*
(SIGN($F44)+SIGN($G44)+SIGN($H44)+SIGN($I44)
+SIGN($J44)+SIGN($K44)+SIGN($L44)+SIGN($M44)
+SIGN($N44)+SIGN($O44)+SIGN($P44)+SIGN($Q44)
+SIGN($R44)+SIGN($S44)+SIGN($T44))</f>
        <v>3</v>
      </c>
      <c r="D45" s="20">
        <f>$B44-$C45-$C$7*
(ROUNDDOWN(($F44-$C$8)/$C$7,0)+ROUNDDOWN(($G44-$C$8)/$C$7,0)
+ROUNDDOWN(($H44-$C$8)/$C$7,0)+ROUNDDOWN(($I44-$C$8)/$C$7,0)
+ROUNDDOWN(($J44-$C$8)/$C$7,0)+ROUNDDOWN(($K44-$C$8)/$C$7,0)
+ROUNDDOWN(($L44-$C$8)/$C$7,0)+ROUNDDOWN(($M44-$C$8)/$C$7,0)
+ROUNDDOWN(($N44-$C$8)/$C$7,0)+ROUNDDOWN(($O44-$C$8)/$C$7,0)
+ROUNDDOWN(($P44-$C$8)/$C$7,0)+ROUNDDOWN(($Q44-$C$8)/$C$7,0)
+ROUNDDOWN(($R44-$C$8)/$C$7,0)+ROUNDDOWN(($S44-$C$8)/$C$7,0)
+ROUNDDOWN(($T44-$C$8)/$C$7,0))</f>
        <v>3.2579905496145329</v>
      </c>
      <c r="E45" s="32">
        <f t="shared" si="2"/>
        <v>0</v>
      </c>
      <c r="F45" s="81"/>
      <c r="G45" s="81"/>
      <c r="H45" s="81"/>
      <c r="I45" s="81"/>
      <c r="J45" s="81"/>
      <c r="K45" s="81"/>
      <c r="L45" s="81"/>
      <c r="M45" s="80"/>
      <c r="N45" s="42"/>
      <c r="O45" s="43"/>
      <c r="P45" s="21"/>
      <c r="Q45" s="21"/>
      <c r="R45" s="42"/>
      <c r="S45" s="21"/>
      <c r="T45" s="21"/>
      <c r="U45" s="21"/>
      <c r="V45" s="39"/>
      <c r="W45" s="17"/>
      <c r="X45" s="135"/>
      <c r="Y45" s="135"/>
      <c r="Z45" s="39"/>
      <c r="AA45" s="39"/>
      <c r="AB45" s="135"/>
      <c r="AC45" s="135"/>
      <c r="AD45" s="135"/>
      <c r="AE45" s="135"/>
      <c r="AF45" s="39"/>
    </row>
    <row r="46" spans="1:32" s="12" customFormat="1" ht="18.899999999999999" hidden="1" x14ac:dyDescent="0.35">
      <c r="A46" s="60"/>
      <c r="B46" s="226"/>
      <c r="C46" s="23"/>
      <c r="D46" s="24"/>
      <c r="E46" s="32">
        <f t="shared" si="2"/>
        <v>0</v>
      </c>
      <c r="F46" s="82"/>
      <c r="G46" s="79"/>
      <c r="H46" s="79"/>
      <c r="I46" s="79"/>
      <c r="J46" s="79"/>
      <c r="K46" s="79"/>
      <c r="L46" s="79"/>
      <c r="M46" s="84"/>
      <c r="P46" s="38"/>
      <c r="Q46" s="38"/>
      <c r="R46" s="39"/>
      <c r="S46" s="102"/>
      <c r="T46" s="102"/>
      <c r="U46" s="102"/>
      <c r="V46" s="39"/>
      <c r="W46" s="17"/>
      <c r="X46" s="135"/>
      <c r="Y46" s="135"/>
      <c r="Z46" s="39"/>
      <c r="AA46" s="39"/>
      <c r="AB46" s="135"/>
      <c r="AC46" s="135"/>
      <c r="AD46" s="135"/>
      <c r="AE46" s="135"/>
      <c r="AF46" s="39"/>
    </row>
    <row r="47" spans="1:32" s="12" customFormat="1" ht="18.899999999999999" x14ac:dyDescent="0.35">
      <c r="A47" s="60">
        <f>Лист1!R$3</f>
        <v>11.8</v>
      </c>
      <c r="B47" s="224">
        <f>Лист1!R$16</f>
        <v>326.39002486943548</v>
      </c>
      <c r="C47" s="14">
        <f>($B47-$C$7* (
  ROUNDDOWN(($F47-$C$8)/$C$7,0) +  ROUNDDOWN(($G47-$C$8)/$C$7,0)
+ROUNDDOWN(($H47-$C$8)/$C$7,0) + ROUNDDOWN(($I47-$C$8)/$C$7,0)
+ROUNDDOWN(($J47-$C$8)/$C$7,0) +  ROUNDDOWN(($K47-$C$8)/$C$7,0)
+ROUNDDOWN(($L47-$C$8)/$C$7,0) +  ROUNDDOWN(($M47-$C$8)/$C$7,0)
+ROUNDDOWN(($N47-$C$8)/$C$7,0) + ROUNDDOWN(($O47-$C$8)/$C$7,0)
+ROUNDDOWN(($P47-$C$8)/$C$7,0) +  ROUNDDOWN(($Q47-$C$8)/$C$7,0)
+ROUNDDOWN(($R47-$C$8)/$C$7,0) +  ROUNDDOWN(($S47-$C$8)/$C$7,0)
+ROUNDDOWN(($T47-$C$8)/$C$7,0))   ) / $B47 * 100</f>
        <v>3.612250366460136</v>
      </c>
      <c r="D47" s="15">
        <f>C47-E47</f>
        <v>0.91914573712847902</v>
      </c>
      <c r="E47" s="32">
        <f t="shared" si="2"/>
        <v>2.693104629331657</v>
      </c>
      <c r="F47" s="78">
        <v>122</v>
      </c>
      <c r="G47" s="79">
        <v>122</v>
      </c>
      <c r="H47" s="79">
        <v>85.6868896484375</v>
      </c>
      <c r="I47" s="79"/>
      <c r="J47" s="79"/>
      <c r="K47" s="79"/>
      <c r="L47" s="79"/>
      <c r="M47" s="80"/>
      <c r="N47" s="41"/>
      <c r="O47" s="38"/>
      <c r="P47" s="38"/>
      <c r="Q47" s="38"/>
      <c r="R47" s="39"/>
      <c r="S47" s="102"/>
      <c r="T47" s="102"/>
      <c r="U47" s="102"/>
      <c r="V47" s="39"/>
      <c r="W47" s="17">
        <f>SUM(F47:T47)</f>
        <v>329.6868896484375</v>
      </c>
      <c r="X47" s="135">
        <v>27</v>
      </c>
      <c r="Y47" s="135">
        <v>2</v>
      </c>
      <c r="Z47" s="39">
        <v>85.6868896484375</v>
      </c>
      <c r="AA47" s="39"/>
      <c r="AB47" s="135"/>
      <c r="AC47" s="135"/>
      <c r="AD47" s="135"/>
      <c r="AE47" s="135"/>
      <c r="AF47" s="39"/>
    </row>
    <row r="48" spans="1:32" s="12" customFormat="1" ht="18.899999999999999" hidden="1" x14ac:dyDescent="0.35">
      <c r="A48" s="60"/>
      <c r="B48" s="224"/>
      <c r="C48" s="19">
        <f>$C$8*
(SIGN($F47)+SIGN($G47)+SIGN($H47)+SIGN($I47)
+SIGN($J47)+SIGN($K47)+SIGN($L47)+SIGN($M47)
+SIGN($N47)+SIGN($O47)+SIGN($P47)+SIGN($Q47)
+SIGN($R47)+SIGN($S47)+SIGN($T47))</f>
        <v>3</v>
      </c>
      <c r="D48" s="20">
        <f>$B47-$C48-$C$7*
(ROUNDDOWN(($F47-$C$8)/$C$7,0)+ROUNDDOWN(($G47-$C$8)/$C$7,0)
+ROUNDDOWN(($H47-$C$8)/$C$7,0)+ROUNDDOWN(($I47-$C$8)/$C$7,0)
+ROUNDDOWN(($J47-$C$8)/$C$7,0)+ROUNDDOWN(($K47-$C$8)/$C$7,0)
+ROUNDDOWN(($L47-$C$8)/$C$7,0)+ROUNDDOWN(($M47-$C$8)/$C$7,0)
+ROUNDDOWN(($N47-$C$8)/$C$7,0)+ROUNDDOWN(($O47-$C$8)/$C$7,0)
+ROUNDDOWN(($P47-$C$8)/$C$7,0)+ROUNDDOWN(($Q47-$C$8)/$C$7,0)
+ROUNDDOWN(($R47-$C$8)/$C$7,0)+ROUNDDOWN(($S47-$C$8)/$C$7,0)
+ROUNDDOWN(($T47-$C$8)/$C$7,0))</f>
        <v>8.7900248694355128</v>
      </c>
      <c r="E48" s="32">
        <f t="shared" si="2"/>
        <v>0</v>
      </c>
      <c r="F48" s="81"/>
      <c r="G48" s="81"/>
      <c r="H48" s="81"/>
      <c r="I48" s="81"/>
      <c r="J48" s="81"/>
      <c r="K48" s="81"/>
      <c r="L48" s="81"/>
      <c r="M48" s="84"/>
      <c r="N48" s="42"/>
      <c r="O48" s="43"/>
      <c r="P48" s="21"/>
      <c r="Q48" s="21"/>
      <c r="R48" s="42"/>
      <c r="S48" s="21"/>
      <c r="T48" s="21"/>
      <c r="U48" s="21"/>
      <c r="V48" s="39"/>
      <c r="W48" s="17"/>
      <c r="X48" s="135"/>
      <c r="Y48" s="135"/>
      <c r="Z48" s="39"/>
      <c r="AA48" s="39"/>
      <c r="AB48" s="135"/>
      <c r="AC48" s="135"/>
      <c r="AD48" s="135"/>
      <c r="AE48" s="135"/>
      <c r="AF48" s="39"/>
    </row>
    <row r="49" spans="1:35" ht="18.899999999999999" hidden="1" x14ac:dyDescent="0.35">
      <c r="A49" s="60"/>
      <c r="B49" s="224"/>
      <c r="C49" s="23"/>
      <c r="D49" s="24"/>
      <c r="E49" s="32">
        <f t="shared" si="2"/>
        <v>0</v>
      </c>
      <c r="F49" s="82"/>
      <c r="G49" s="79"/>
      <c r="H49" s="79"/>
      <c r="I49" s="79"/>
      <c r="J49" s="79"/>
      <c r="K49" s="79"/>
      <c r="L49" s="79"/>
      <c r="M49" s="80"/>
      <c r="P49" s="38"/>
      <c r="Q49" s="38"/>
      <c r="R49" s="39"/>
      <c r="S49" s="102"/>
      <c r="T49" s="102"/>
      <c r="U49" s="102"/>
      <c r="V49" s="39"/>
      <c r="W49" s="17"/>
    </row>
    <row r="50" spans="1:35" ht="18" x14ac:dyDescent="0.35">
      <c r="A50" s="60">
        <f>Лист1!S$3</f>
        <v>12</v>
      </c>
      <c r="B50" s="224">
        <f>Лист1!S$16</f>
        <v>331.9220591892564</v>
      </c>
      <c r="C50" s="14">
        <f>($B50-$C$7* (
  ROUNDDOWN(($F50-$C$8)/$C$7,0) +  ROUNDDOWN(($G50-$C$8)/$C$7,0)
+ROUNDDOWN(($H50-$C$8)/$C$7,0) + ROUNDDOWN(($I50-$C$8)/$C$7,0)
+ROUNDDOWN(($J50-$C$8)/$C$7,0) +  ROUNDDOWN(($K50-$C$8)/$C$7,0)
+ROUNDDOWN(($L50-$C$8)/$C$7,0) +  ROUNDDOWN(($M50-$C$8)/$C$7,0)
+ROUNDDOWN(($N50-$C$8)/$C$7,0) + ROUNDDOWN(($O50-$C$8)/$C$7,0)
+ROUNDDOWN(($P50-$C$8)/$C$7,0) +  ROUNDDOWN(($Q50-$C$8)/$C$7,0)
+ROUNDDOWN(($R50-$C$8)/$C$7,0) +  ROUNDDOWN(($S50-$C$8)/$C$7,0)
+ROUNDDOWN(($T50-$C$8)/$C$7,0))   ) / $B50 * 100</f>
        <v>1.5732787395967804</v>
      </c>
      <c r="D50" s="15">
        <f>C50-E50</f>
        <v>1.5732787395967804</v>
      </c>
      <c r="E50" s="32">
        <f t="shared" si="2"/>
        <v>0</v>
      </c>
      <c r="F50" s="87">
        <v>122</v>
      </c>
      <c r="G50" s="88">
        <v>122</v>
      </c>
      <c r="H50" s="88">
        <v>91.274810791015625</v>
      </c>
      <c r="I50" s="88"/>
      <c r="J50" s="88"/>
      <c r="K50" s="88"/>
      <c r="L50" s="88"/>
      <c r="M50" s="89"/>
      <c r="N50" s="41"/>
      <c r="O50" s="38"/>
      <c r="P50" s="38"/>
      <c r="Q50" s="38"/>
      <c r="R50" s="39"/>
      <c r="S50" s="102"/>
      <c r="T50" s="102"/>
      <c r="U50" s="102"/>
      <c r="V50" s="39"/>
      <c r="W50" s="17">
        <f>SUM(F50:T50)</f>
        <v>335.27481079101563</v>
      </c>
      <c r="X50" s="135">
        <v>27</v>
      </c>
      <c r="Y50" s="135">
        <v>2</v>
      </c>
      <c r="Z50" s="39">
        <v>91.274810791015625</v>
      </c>
      <c r="AA50" s="141"/>
    </row>
    <row r="51" spans="1:35" ht="16.95" hidden="1" x14ac:dyDescent="0.3">
      <c r="B51" s="29"/>
      <c r="C51" s="19">
        <f>$C$8*
(SIGN($F50)+SIGN($G50)+SIGN($H50)+SIGN($I50)
+SIGN($J50)+SIGN($K50)+SIGN($L50)+SIGN($M50)
+SIGN($N50)+SIGN($O50)+SIGN($P50)+SIGN($Q50)
+SIGN($R50)+SIGN($S50)+SIGN($T50))</f>
        <v>3</v>
      </c>
      <c r="D51" s="20">
        <f>$B50-$C51-$C$7*
(ROUNDDOWN(($F50-$C$8)/$C$7,0)+ROUNDDOWN(($G50-$C$8)/$C$7,0)
+ROUNDDOWN(($H50-$C$8)/$C$7,0)+ROUNDDOWN(($I50-$C$8)/$C$7,0)
+ROUNDDOWN(($J50-$C$8)/$C$7,0)+ROUNDDOWN(($K50-$C$8)/$C$7,0)
+ROUNDDOWN(($L50-$C$8)/$C$7,0)+ROUNDDOWN(($M50-$C$8)/$C$7,0)
+ROUNDDOWN(($N50-$C$8)/$C$7,0)+ROUNDDOWN(($O50-$C$8)/$C$7,0)
+ROUNDDOWN(($P50-$C$8)/$C$7,0)+ROUNDDOWN(($Q50-$C$8)/$C$7,0)
+ROUNDDOWN(($R50-$C$8)/$C$7,0)+ROUNDDOWN(($S50-$C$8)/$C$7,0)
+ROUNDDOWN(($T50-$C$8)/$C$7,0))</f>
        <v>2.222059189256413</v>
      </c>
      <c r="E51" s="129">
        <f>B50</f>
        <v>331.9220591892564</v>
      </c>
      <c r="F51" s="20">
        <f>C51-F50</f>
        <v>-119</v>
      </c>
      <c r="G51" s="26">
        <f t="shared" ref="G51:M51" si="3">F51-G50</f>
        <v>-241</v>
      </c>
      <c r="H51" s="26">
        <f t="shared" si="3"/>
        <v>-332.27481079101563</v>
      </c>
      <c r="I51" s="26">
        <f t="shared" si="3"/>
        <v>-332.27481079101563</v>
      </c>
      <c r="J51" s="26">
        <f t="shared" si="3"/>
        <v>-332.27481079101563</v>
      </c>
      <c r="K51" s="26">
        <f t="shared" si="3"/>
        <v>-332.27481079101563</v>
      </c>
      <c r="L51" s="26">
        <f t="shared" si="3"/>
        <v>-332.27481079101563</v>
      </c>
      <c r="M51" s="26">
        <f t="shared" si="3"/>
        <v>-332.27481079101563</v>
      </c>
      <c r="N51" s="42"/>
      <c r="O51" s="43"/>
      <c r="P51" s="21"/>
      <c r="Q51" s="21"/>
      <c r="R51" s="42"/>
      <c r="S51" s="21"/>
      <c r="T51" s="21"/>
      <c r="U51" s="21"/>
      <c r="V51" s="41"/>
      <c r="W51" s="17"/>
    </row>
    <row r="52" spans="1:35" ht="16.95" hidden="1" x14ac:dyDescent="0.3">
      <c r="B52" s="29"/>
      <c r="C52" s="23"/>
      <c r="D52" s="24"/>
      <c r="E52" s="24">
        <f>IF(B50&gt;0,(B50/ROUNDUP(ROUNDUP(((B50-($C$8*ROUNDUP(B50/$H$8,0)))/$C$7),0)/$H$7,0)-$C$8)/$C$7,0-$C$8/$C$7)</f>
        <v>9.0612137517701488</v>
      </c>
      <c r="F52" s="54">
        <f>IF((($B50-($K$7*(ROUNDDOWN($B50/$K$7,0))))&lt;$E$8)*(($K$7+$B50-$K$7*(ROUNDDOWN($B50/$K$7,0)))&gt;$E$7),(ROUNDUP(($E$8-($B50-($K$7*(ROUNDDOWN($B50/$K$7,0)))))/$C$7,0)),0)</f>
        <v>0</v>
      </c>
      <c r="G52" s="53">
        <f>IF(F52&gt;($I$7-$H$7),($I$7-$H$7),F52)</f>
        <v>-1</v>
      </c>
      <c r="H52" s="53">
        <f>IF((F52-G52)&gt;($I$7-$H$7),($I$7-$H$7),F52-G52)</f>
        <v>-1</v>
      </c>
      <c r="I52" s="53">
        <f>IF((F52-G52-H52)&gt;($I$7-$H$7),($I$7-$H$7),F52-G52-H52)</f>
        <v>-1</v>
      </c>
      <c r="J52" s="53">
        <f>IF((F52-G52-H52-I52)&gt;($I$7-$H$7),($I$7-$H$7),F52-G52-H52-I52)</f>
        <v>-1</v>
      </c>
      <c r="K52" s="53">
        <f>IF((F52-G52-H52-I52-J52)&gt;($I$7-$H$7),($I$7-$H$7),F52-G52-H52-I52-J52)</f>
        <v>-1</v>
      </c>
      <c r="L52" s="53">
        <f>IF((G52-H52-I52-J52-K52)&gt;($I$7-$H$7),($I$7-$H$7),G52-H52-I52-J52-K52)</f>
        <v>-1</v>
      </c>
      <c r="M52" s="53">
        <f>IF((H52-I52-J52-K52-L52)&gt;($I$7-$H$7),($I$7-$H$7),H52-I52-J52-K52-L52)</f>
        <v>-1</v>
      </c>
      <c r="P52" s="38"/>
      <c r="Q52" s="38"/>
      <c r="R52" s="39"/>
      <c r="S52" s="102"/>
      <c r="T52" s="102"/>
      <c r="U52" s="102"/>
      <c r="V52" s="41"/>
      <c r="W52" s="17"/>
    </row>
    <row r="53" spans="1:35" ht="17.399999999999999" x14ac:dyDescent="0.35">
      <c r="B53" s="30" t="s">
        <v>28</v>
      </c>
      <c r="C53" s="31">
        <f>AVERAGE(C11,C14,C17,C20,C23,C26,C29,C32,C35,C38,C41,C44,C47,C50,)</f>
        <v>2.3480114274939394</v>
      </c>
      <c r="D53" s="31">
        <f>AVERAGE(D11,D14,D17,D20,D23,D26,D29,D32,D35,D38,D41,D44,D47,D50,)</f>
        <v>0.93136580966422788</v>
      </c>
      <c r="E53" s="31">
        <f>AVERAGE(E11,E14,E17,E20,E23,E26,E29,E32,E35,E38,E41,E44,E47,E50,)</f>
        <v>1.4166456178297115</v>
      </c>
      <c r="F53" s="22"/>
      <c r="G53" s="22"/>
      <c r="H53" s="22"/>
      <c r="I53" s="22"/>
      <c r="J53" s="22"/>
      <c r="K53" s="22"/>
      <c r="L53" s="22"/>
      <c r="P53" s="38"/>
      <c r="Q53" s="38"/>
      <c r="R53" s="39"/>
      <c r="S53" s="102"/>
      <c r="T53" s="102"/>
      <c r="U53" s="102"/>
      <c r="V53" s="41"/>
      <c r="W53" s="17"/>
      <c r="X53" s="135" t="s">
        <v>48</v>
      </c>
      <c r="Y53" s="135" t="s">
        <v>4</v>
      </c>
      <c r="Z53" s="39" t="s">
        <v>49</v>
      </c>
      <c r="AA53" s="39" t="s">
        <v>50</v>
      </c>
      <c r="AB53" s="135" t="s">
        <v>51</v>
      </c>
      <c r="AC53" s="135" t="s">
        <v>52</v>
      </c>
      <c r="AD53" s="142" t="s">
        <v>60</v>
      </c>
      <c r="AE53" s="142" t="s">
        <v>61</v>
      </c>
      <c r="AF53" s="39" t="s">
        <v>62</v>
      </c>
    </row>
    <row r="54" spans="1:35" ht="17.399999999999999" x14ac:dyDescent="0.35">
      <c r="B54" s="30"/>
      <c r="C54" s="31"/>
      <c r="D54" s="31"/>
      <c r="E54" s="31"/>
      <c r="F54" s="22"/>
      <c r="G54" s="22"/>
      <c r="H54" s="22"/>
      <c r="I54" s="22"/>
      <c r="J54" s="22"/>
      <c r="K54" s="22"/>
      <c r="L54" s="22"/>
      <c r="P54" s="38"/>
      <c r="Q54" s="38"/>
      <c r="R54" s="39"/>
      <c r="S54" s="102"/>
      <c r="T54" s="102"/>
      <c r="U54" s="102"/>
      <c r="V54" s="41"/>
      <c r="W54" s="17"/>
    </row>
    <row r="55" spans="1:35" ht="17.399999999999999" x14ac:dyDescent="0.35">
      <c r="B55" s="30"/>
      <c r="C55" s="31"/>
      <c r="D55" s="31"/>
      <c r="E55" s="31"/>
      <c r="F55" s="22"/>
      <c r="G55" s="22"/>
      <c r="H55" s="22"/>
      <c r="I55" s="22"/>
      <c r="J55" s="22"/>
      <c r="K55" s="22"/>
      <c r="L55" s="22"/>
      <c r="P55" s="38"/>
      <c r="Q55" s="38"/>
      <c r="R55" s="39"/>
      <c r="S55" s="102"/>
      <c r="T55" s="102"/>
      <c r="U55" s="102"/>
      <c r="V55" s="41"/>
      <c r="W55" s="17"/>
    </row>
    <row r="56" spans="1:35" ht="17.399999999999999" x14ac:dyDescent="0.35">
      <c r="B56" s="29"/>
      <c r="V56" s="38"/>
      <c r="W56" s="40"/>
    </row>
    <row r="57" spans="1:35" s="69" customFormat="1" ht="18" x14ac:dyDescent="0.35">
      <c r="A57" s="212" t="s">
        <v>32</v>
      </c>
      <c r="B57" s="70" t="s">
        <v>44</v>
      </c>
      <c r="C57" s="76">
        <v>12.1</v>
      </c>
      <c r="D57" s="70" t="s">
        <v>45</v>
      </c>
      <c r="E57" s="72">
        <v>125</v>
      </c>
      <c r="F57" s="131" t="s">
        <v>64</v>
      </c>
      <c r="G57" s="77" t="s">
        <v>63</v>
      </c>
      <c r="H57" s="126">
        <v>10</v>
      </c>
      <c r="I57" s="127">
        <f>H57-1</f>
        <v>9</v>
      </c>
      <c r="J57" s="127">
        <f t="shared" ref="J57:M57" si="4">I57-1</f>
        <v>8</v>
      </c>
      <c r="K57" s="127">
        <f t="shared" si="4"/>
        <v>7</v>
      </c>
      <c r="L57" s="127">
        <f t="shared" si="4"/>
        <v>6</v>
      </c>
      <c r="M57" s="127">
        <f t="shared" si="4"/>
        <v>5</v>
      </c>
      <c r="V57" s="169"/>
      <c r="W57" s="73"/>
      <c r="X57" s="139"/>
      <c r="Y57" s="139"/>
      <c r="Z57" s="139"/>
      <c r="AA57" s="139"/>
      <c r="AB57" s="136"/>
      <c r="AC57" s="136"/>
      <c r="AD57" s="136"/>
      <c r="AE57" s="136"/>
      <c r="AF57" s="139"/>
      <c r="AG57" s="136"/>
      <c r="AH57" s="136"/>
      <c r="AI57" s="136"/>
    </row>
    <row r="58" spans="1:35" s="69" customFormat="1" ht="18" x14ac:dyDescent="0.35">
      <c r="A58" s="212"/>
      <c r="B58" s="70" t="s">
        <v>47</v>
      </c>
      <c r="C58" s="71">
        <v>1</v>
      </c>
      <c r="D58" s="70" t="s">
        <v>46</v>
      </c>
      <c r="E58" s="72">
        <v>75</v>
      </c>
      <c r="F58" s="131" t="s">
        <v>65</v>
      </c>
      <c r="G58" s="132">
        <v>1</v>
      </c>
      <c r="H58" s="128">
        <v>122</v>
      </c>
      <c r="I58" s="128">
        <f>I57*$C57+$C58</f>
        <v>109.89999999999999</v>
      </c>
      <c r="J58" s="128">
        <f>J57*$C57+$C58</f>
        <v>97.8</v>
      </c>
      <c r="K58" s="128">
        <f t="shared" ref="K58:M58" si="5">K57*$C57+$C58</f>
        <v>85.7</v>
      </c>
      <c r="L58" s="128">
        <f t="shared" si="5"/>
        <v>73.599999999999994</v>
      </c>
      <c r="M58" s="128">
        <f t="shared" si="5"/>
        <v>61.5</v>
      </c>
      <c r="N58" s="93"/>
      <c r="O58" s="74"/>
      <c r="P58" s="74"/>
      <c r="Q58" s="74"/>
      <c r="R58" s="74"/>
      <c r="S58" s="74"/>
      <c r="T58" s="74"/>
      <c r="U58" s="93"/>
      <c r="V58" s="170"/>
      <c r="W58" s="75"/>
      <c r="X58" s="136"/>
      <c r="Y58" s="136"/>
      <c r="Z58" s="139"/>
      <c r="AA58" s="139"/>
      <c r="AB58" s="136"/>
      <c r="AC58" s="136"/>
      <c r="AD58" s="136"/>
      <c r="AE58" s="136"/>
      <c r="AF58" s="139"/>
      <c r="AG58" s="136"/>
      <c r="AH58" s="136"/>
      <c r="AI58" s="136"/>
    </row>
    <row r="59" spans="1:35" ht="41.55" customHeight="1" x14ac:dyDescent="0.3">
      <c r="A59" s="213"/>
      <c r="B59" s="214" t="s">
        <v>54</v>
      </c>
      <c r="C59" s="216" t="s">
        <v>9</v>
      </c>
      <c r="D59" s="61" t="s">
        <v>31</v>
      </c>
      <c r="E59" s="34" t="s">
        <v>9</v>
      </c>
      <c r="F59" s="218">
        <v>1</v>
      </c>
      <c r="G59" s="218">
        <v>2</v>
      </c>
      <c r="H59" s="220">
        <v>3</v>
      </c>
      <c r="I59" s="220">
        <v>4</v>
      </c>
      <c r="J59" s="222">
        <v>5</v>
      </c>
      <c r="K59" s="222">
        <v>6</v>
      </c>
      <c r="L59" s="222">
        <v>7</v>
      </c>
      <c r="M59" s="222">
        <v>8</v>
      </c>
      <c r="N59" s="104"/>
      <c r="O59" s="104">
        <v>10</v>
      </c>
      <c r="P59" s="104">
        <v>11</v>
      </c>
      <c r="Q59" s="104">
        <v>12</v>
      </c>
      <c r="R59" s="104">
        <v>13</v>
      </c>
      <c r="S59" s="104">
        <v>14</v>
      </c>
      <c r="T59" s="104">
        <v>15</v>
      </c>
      <c r="U59" s="104"/>
      <c r="V59" s="172" t="s">
        <v>69</v>
      </c>
      <c r="W59" s="35"/>
      <c r="X59" s="96"/>
      <c r="Y59" s="96"/>
      <c r="AA59" s="97"/>
    </row>
    <row r="60" spans="1:35" ht="18" x14ac:dyDescent="0.35">
      <c r="A60" s="58" t="s">
        <v>30</v>
      </c>
      <c r="B60" s="215"/>
      <c r="C60" s="217"/>
      <c r="D60" s="130">
        <v>3</v>
      </c>
      <c r="E60" s="37" t="s">
        <v>27</v>
      </c>
      <c r="F60" s="219"/>
      <c r="G60" s="219"/>
      <c r="H60" s="221"/>
      <c r="I60" s="221"/>
      <c r="J60" s="223"/>
      <c r="K60" s="223"/>
      <c r="L60" s="223"/>
      <c r="M60" s="223"/>
      <c r="N60" s="104"/>
      <c r="O60" s="104"/>
      <c r="P60" s="104"/>
      <c r="Q60" s="104"/>
      <c r="R60" s="104"/>
      <c r="S60" s="104"/>
      <c r="T60" s="104"/>
      <c r="U60" s="104"/>
      <c r="V60" s="203">
        <f>($E$57+$E$58)/2</f>
        <v>100</v>
      </c>
      <c r="W60" s="35"/>
      <c r="X60" s="96" t="s">
        <v>48</v>
      </c>
      <c r="Y60" s="96" t="s">
        <v>4</v>
      </c>
      <c r="Z60" s="39" t="s">
        <v>49</v>
      </c>
      <c r="AA60" s="97" t="s">
        <v>50</v>
      </c>
      <c r="AB60" s="96" t="s">
        <v>51</v>
      </c>
      <c r="AC60" s="96" t="s">
        <v>52</v>
      </c>
      <c r="AD60" s="96" t="s">
        <v>60</v>
      </c>
      <c r="AE60" s="96" t="s">
        <v>61</v>
      </c>
    </row>
    <row r="61" spans="1:35" ht="18" x14ac:dyDescent="0.35">
      <c r="A61" s="60">
        <f>Лист1!F$3</f>
        <v>7</v>
      </c>
      <c r="B61" s="13">
        <f>Лист1!F$16</f>
        <v>193.6212011937329</v>
      </c>
      <c r="C61" s="14">
        <f>($B61-$C$57* (
  ROUNDDOWN(($F61-$C$58)/$C$57,0) + ROUNDDOWN(($G61-$C$58)/$C$57,0)
+ROUNDDOWN(($H61-$C$58)/$C$57,0) + ROUNDDOWN(($I61-$C$58)/$C$57,0)
+ROUNDDOWN(($J61-$C$58)/$C$57,0) +  ROUNDDOWN(($K61-$C$58)/$C$57,0)
+ROUNDDOWN(($L61-$C$58)/$C$57,0) + ROUNDDOWN(($M61-$C$58)/$C$57,0)
+ROUNDDOWN(($N61-$C$58)/$C$57,0) + ROUNDDOWN(($O61-$C$58)/$C$57,0)
+ROUNDDOWN(($P61-$C$58)/$C$57,0) + ROUNDDOWN(($Q61-$C$58)/$C$57,0)
+ROUNDDOWN(($R61-$C$58)/$C$57,0) + ROUNDDOWN(($S61-$C$58)/$C$57,0)
+ROUNDDOWN(($T61-$C$58)/$C$57,0)  )) / $B61 * 100</f>
        <v>6.2602654662826458</v>
      </c>
      <c r="D61" s="15">
        <f>C61-E61</f>
        <v>1.0329447331539114</v>
      </c>
      <c r="E61" s="32">
        <f>IF(D62 &gt; $D$60,D62/$B61*100,0)</f>
        <v>5.2273207331287344</v>
      </c>
      <c r="F61" s="78">
        <v>97.8</v>
      </c>
      <c r="G61" s="79">
        <v>97.776965332031253</v>
      </c>
      <c r="H61" s="79"/>
      <c r="I61" s="79"/>
      <c r="J61" s="107"/>
      <c r="K61" s="107"/>
      <c r="L61" s="107"/>
      <c r="M61" s="108"/>
      <c r="N61" s="104"/>
      <c r="O61" s="104"/>
      <c r="P61" s="104"/>
      <c r="Q61" s="104"/>
      <c r="R61" s="104"/>
      <c r="S61" s="104"/>
      <c r="T61" s="104"/>
      <c r="U61" s="104"/>
      <c r="V61" s="39"/>
      <c r="W61" s="17">
        <f t="shared" ref="W61:W70" si="6">SUM(F61:T61)</f>
        <v>195.57696533203125</v>
      </c>
      <c r="X61" s="96">
        <v>16</v>
      </c>
      <c r="Y61" s="96">
        <v>1</v>
      </c>
      <c r="Z61" s="39">
        <v>73.57696533203125</v>
      </c>
      <c r="AA61" s="97">
        <v>1.42303466796875</v>
      </c>
      <c r="AB61" s="135">
        <v>1</v>
      </c>
      <c r="AC61" s="135">
        <v>3</v>
      </c>
      <c r="AD61" s="135">
        <v>1</v>
      </c>
      <c r="AE61" s="135">
        <v>1</v>
      </c>
      <c r="AF61" s="39">
        <v>12.1</v>
      </c>
    </row>
    <row r="62" spans="1:35" ht="16.95" hidden="1" x14ac:dyDescent="0.3">
      <c r="A62" s="58"/>
      <c r="B62" s="195"/>
      <c r="C62" s="19">
        <f>$C$58*
(SIGN($F61)+SIGN($G61)+SIGN($H61)+SIGN($I61)
+SIGN($J61)+SIGN($K61)+SIGN($L61)+SIGN($M61)
+SIGN($N61)+SIGN($O61)+SIGN($P61)+SIGN($Q61)
+SIGN($R61)+SIGN($S61)+SIGN($T61))</f>
        <v>2</v>
      </c>
      <c r="D62" s="20">
        <f>$B61-$C62-$C$57*
(ROUNDDOWN(($F61-$C$58)/$C$57,0)+ROUNDDOWN(($G61-$C$58)/$C$57,0)
+ROUNDDOWN(($H61-$C$58)/$C$57,0)+ROUNDDOWN(($I61-$C$58)/$C$57,0)
+ROUNDDOWN(($J61-$C$58)/$C$57,0)+ROUNDDOWN(($K61-$C$58)/$C$57,0)
+ROUNDDOWN(($L61-$C$58)/$C$57,0)+ROUNDDOWN(($M61-$C$58)/$C$57,0)
+ROUNDDOWN(($N61-$C$58)/$C$57,0)+ROUNDDOWN(($O61-$C$58)/$C$57,0)
+ROUNDDOWN(($P61-$C$58)/$C$57,0)+ROUNDDOWN(($Q61-$C$58)/$C$57,0)
+ROUNDDOWN(($R61-$C$58)/$C$57,0)+ROUNDDOWN(($S61-$C$58)/$C$57,0)
+ROUNDDOWN(($T61-$C$58)/$C$57,0))</f>
        <v>10.121201193732901</v>
      </c>
      <c r="E62" s="129">
        <f>B61</f>
        <v>193.6212011937329</v>
      </c>
      <c r="F62" s="78"/>
      <c r="G62" s="79"/>
      <c r="H62" s="79"/>
      <c r="I62" s="79"/>
      <c r="J62" s="107"/>
      <c r="K62" s="107"/>
      <c r="L62" s="107"/>
      <c r="M62" s="108"/>
      <c r="N62" s="104"/>
      <c r="O62" s="104"/>
      <c r="P62" s="104"/>
      <c r="Q62" s="104"/>
      <c r="R62" s="104"/>
      <c r="S62" s="104"/>
      <c r="T62" s="104"/>
      <c r="U62" s="104"/>
      <c r="V62" s="39"/>
      <c r="W62" s="17"/>
      <c r="X62" s="96"/>
      <c r="Y62" s="96"/>
      <c r="AA62" s="97"/>
    </row>
    <row r="63" spans="1:35" ht="16.95" hidden="1" x14ac:dyDescent="0.3">
      <c r="A63" s="58"/>
      <c r="B63" s="195"/>
      <c r="C63" s="22"/>
      <c r="D63" s="22"/>
      <c r="E63" s="22">
        <f>IF(B61&gt;0,(B61/ROUNDUP(ROUNDUP(((B61-($C$58*ROUNDUP(B61/$H$58,0)))/$C$57),0)/$H$57,0)-$C$58)/$C$57,0-$C$58/$C$57)</f>
        <v>7.9182314542864836</v>
      </c>
      <c r="F63" s="78"/>
      <c r="G63" s="79"/>
      <c r="H63" s="79"/>
      <c r="I63" s="79"/>
      <c r="J63" s="107"/>
      <c r="K63" s="107"/>
      <c r="L63" s="107"/>
      <c r="M63" s="108"/>
      <c r="N63" s="104"/>
      <c r="O63" s="104"/>
      <c r="P63" s="104"/>
      <c r="Q63" s="104"/>
      <c r="R63" s="104"/>
      <c r="S63" s="104"/>
      <c r="T63" s="104"/>
      <c r="U63" s="104"/>
      <c r="V63" s="39"/>
      <c r="W63" s="17"/>
      <c r="X63" s="96"/>
      <c r="Y63" s="96"/>
      <c r="AA63" s="97"/>
    </row>
    <row r="64" spans="1:35" ht="18" x14ac:dyDescent="0.35">
      <c r="A64" s="60">
        <f>Лист1!G$3</f>
        <v>7.5</v>
      </c>
      <c r="B64" s="13">
        <f>Лист1!G$16</f>
        <v>207.45128699328524</v>
      </c>
      <c r="C64" s="14">
        <f>($B64-$C$57* (
  ROUNDDOWN(($F64-$C$58)/$C$57,0) + ROUNDDOWN(($G64-$C$58)/$C$57,0)
+ROUNDDOWN(($H64-$C$58)/$C$57,0) + ROUNDDOWN(($I64-$C$58)/$C$57,0)
+ROUNDDOWN(($J64-$C$58)/$C$57,0) +  ROUNDDOWN(($K64-$C$58)/$C$57,0)
+ROUNDDOWN(($L64-$C$58)/$C$57,0) + ROUNDDOWN(($M64-$C$58)/$C$57,0)
+ROUNDDOWN(($N64-$C$58)/$C$57,0) + ROUNDDOWN(($O64-$C$58)/$C$57,0)
+ROUNDDOWN(($P64-$C$58)/$C$57,0) + ROUNDDOWN(($Q64-$C$58)/$C$57,0)
+ROUNDDOWN(($R64-$C$58)/$C$57,0) + ROUNDDOWN(($S64-$C$58)/$C$57,0)
+ROUNDDOWN(($T64-$C$58)/$C$57,0)  )) / $B64 * 100</f>
        <v>0.84419191544564087</v>
      </c>
      <c r="D64" s="15">
        <f>C64-E64</f>
        <v>0.84419191544564087</v>
      </c>
      <c r="E64" s="32">
        <f t="shared" ref="E64:E100" si="7">IF(D65 &gt; $D$60,D65/$B64*100,0)</f>
        <v>0</v>
      </c>
      <c r="F64" s="78">
        <v>109.9</v>
      </c>
      <c r="G64" s="79">
        <v>99.646752929687494</v>
      </c>
      <c r="H64" s="79"/>
      <c r="I64" s="79"/>
      <c r="J64" s="107"/>
      <c r="K64" s="107"/>
      <c r="L64" s="107"/>
      <c r="M64" s="108"/>
      <c r="N64" s="104"/>
      <c r="O64" s="104"/>
      <c r="P64" s="104"/>
      <c r="Q64" s="104"/>
      <c r="R64" s="104"/>
      <c r="S64" s="104"/>
      <c r="T64" s="104"/>
      <c r="U64" s="104"/>
      <c r="V64" s="39"/>
      <c r="W64" s="17">
        <f t="shared" si="6"/>
        <v>209.5467529296875</v>
      </c>
      <c r="X64" s="96">
        <v>17</v>
      </c>
      <c r="Y64" s="96">
        <v>1</v>
      </c>
      <c r="Z64" s="39">
        <v>87.5467529296875</v>
      </c>
      <c r="AA64" s="97"/>
      <c r="AC64" s="135">
        <v>3</v>
      </c>
      <c r="AD64" s="135">
        <v>1</v>
      </c>
      <c r="AE64" s="135">
        <v>1</v>
      </c>
      <c r="AF64" s="39">
        <v>12.1</v>
      </c>
    </row>
    <row r="65" spans="1:32" s="12" customFormat="1" ht="16.95" hidden="1" x14ac:dyDescent="0.3">
      <c r="A65" s="58"/>
      <c r="B65" s="13"/>
      <c r="C65" s="19">
        <f>$C$58*
(SIGN($F64)+SIGN($G64)+SIGN($H64)+SIGN($I64)
+SIGN($J64)+SIGN($K64)+SIGN($L64)+SIGN($M64)
+SIGN($N64)+SIGN($O64)+SIGN($P64)+SIGN($Q64)
+SIGN($R64)+SIGN($S64)+SIGN($T64))</f>
        <v>2</v>
      </c>
      <c r="D65" s="20">
        <f>$B64-$C65-$C$57*
(ROUNDDOWN(($F64-$C$58)/$C$57,0)+ROUNDDOWN(($G64-$C$58)/$C$57,0)
+ROUNDDOWN(($H64-$C$58)/$C$57,0)+ROUNDDOWN(($I64-$C$58)/$C$57,0)
+ROUNDDOWN(($J64-$C$58)/$C$57,0)+ROUNDDOWN(($K64-$C$58)/$C$57,0)
+ROUNDDOWN(($L64-$C$58)/$C$57,0)+ROUNDDOWN(($M64-$C$58)/$C$57,0)
+ROUNDDOWN(($N64-$C$58)/$C$57,0)+ROUNDDOWN(($O64-$C$58)/$C$57,0)
+ROUNDDOWN(($P64-$C$58)/$C$57,0)+ROUNDDOWN(($Q64-$C$58)/$C$57,0)
+ROUNDDOWN(($R64-$C$58)/$C$57,0)+ROUNDDOWN(($S64-$C$58)/$C$57,0)
+ROUNDDOWN(($T64-$C$58)/$C$57,0))</f>
        <v>-0.24871300671475183</v>
      </c>
      <c r="E65" s="32">
        <f t="shared" si="7"/>
        <v>0</v>
      </c>
      <c r="F65" s="78"/>
      <c r="G65" s="79"/>
      <c r="H65" s="79"/>
      <c r="I65" s="79"/>
      <c r="J65" s="107"/>
      <c r="K65" s="107"/>
      <c r="L65" s="107"/>
      <c r="M65" s="108"/>
      <c r="N65" s="104"/>
      <c r="O65" s="104"/>
      <c r="P65" s="104"/>
      <c r="Q65" s="104"/>
      <c r="R65" s="104"/>
      <c r="S65" s="104"/>
      <c r="T65" s="104"/>
      <c r="U65" s="104"/>
      <c r="V65" s="39"/>
      <c r="W65" s="17"/>
      <c r="X65" s="96"/>
      <c r="Y65" s="96"/>
      <c r="Z65" s="39"/>
      <c r="AA65" s="97"/>
      <c r="AB65" s="135"/>
      <c r="AC65" s="135"/>
      <c r="AD65" s="135"/>
      <c r="AE65" s="135"/>
      <c r="AF65" s="39"/>
    </row>
    <row r="66" spans="1:32" s="12" customFormat="1" ht="16.95" hidden="1" x14ac:dyDescent="0.3">
      <c r="A66" s="58"/>
      <c r="B66" s="13"/>
      <c r="C66" s="22"/>
      <c r="D66" s="22"/>
      <c r="E66" s="32">
        <f t="shared" si="7"/>
        <v>0</v>
      </c>
      <c r="F66" s="78"/>
      <c r="G66" s="79"/>
      <c r="H66" s="79"/>
      <c r="I66" s="79"/>
      <c r="J66" s="107"/>
      <c r="K66" s="107"/>
      <c r="L66" s="107"/>
      <c r="M66" s="108"/>
      <c r="N66" s="104"/>
      <c r="O66" s="104"/>
      <c r="P66" s="104"/>
      <c r="Q66" s="104"/>
      <c r="R66" s="104"/>
      <c r="S66" s="104"/>
      <c r="T66" s="104"/>
      <c r="U66" s="104"/>
      <c r="V66" s="39"/>
      <c r="W66" s="17"/>
      <c r="X66" s="96"/>
      <c r="Y66" s="96"/>
      <c r="Z66" s="39"/>
      <c r="AA66" s="97"/>
      <c r="AB66" s="135"/>
      <c r="AC66" s="135"/>
      <c r="AD66" s="135"/>
      <c r="AE66" s="135"/>
      <c r="AF66" s="39"/>
    </row>
    <row r="67" spans="1:32" s="12" customFormat="1" ht="18" x14ac:dyDescent="0.35">
      <c r="A67" s="60">
        <f>Лист1!H$3</f>
        <v>8</v>
      </c>
      <c r="B67" s="13">
        <f>Лист1!H$16</f>
        <v>221.2813727928376</v>
      </c>
      <c r="C67" s="14">
        <f>($B67-$C$57* (
  ROUNDDOWN(($F67-$C$58)/$C$57,0) + ROUNDDOWN(($G67-$C$58)/$C$57,0)
+ROUNDDOWN(($H67-$C$58)/$C$57,0) + ROUNDDOWN(($I67-$C$58)/$C$57,0)
+ROUNDDOWN(($J67-$C$58)/$C$57,0) +  ROUNDDOWN(($K67-$C$58)/$C$57,0)
+ROUNDDOWN(($L67-$C$58)/$C$57,0) + ROUNDDOWN(($M67-$C$58)/$C$57,0)
+ROUNDDOWN(($N67-$C$58)/$C$57,0) + ROUNDDOWN(($O67-$C$58)/$C$57,0)
+ROUNDDOWN(($P67-$C$58)/$C$57,0) + ROUNDDOWN(($Q67-$C$58)/$C$57,0)
+ROUNDDOWN(($R67-$C$58)/$C$57,0) + ROUNDDOWN(($S67-$C$58)/$C$57,0)
+ROUNDDOWN(($T67-$C$58)/$C$57,0)  )) / $B67 * 100</f>
        <v>1.5732787395967847</v>
      </c>
      <c r="D67" s="15">
        <f>C67-E67</f>
        <v>1.5732787395967847</v>
      </c>
      <c r="E67" s="32">
        <f t="shared" si="7"/>
        <v>0</v>
      </c>
      <c r="F67" s="78">
        <v>122</v>
      </c>
      <c r="G67" s="79">
        <v>101.51654052734375</v>
      </c>
      <c r="H67" s="79"/>
      <c r="I67" s="79"/>
      <c r="J67" s="107"/>
      <c r="K67" s="107"/>
      <c r="L67" s="107"/>
      <c r="M67" s="108"/>
      <c r="N67" s="104"/>
      <c r="O67" s="104"/>
      <c r="P67" s="104"/>
      <c r="Q67" s="104"/>
      <c r="R67" s="104"/>
      <c r="S67" s="104"/>
      <c r="T67" s="104"/>
      <c r="U67" s="104"/>
      <c r="V67" s="39"/>
      <c r="W67" s="17">
        <f t="shared" si="6"/>
        <v>223.51654052734375</v>
      </c>
      <c r="X67" s="96">
        <v>18</v>
      </c>
      <c r="Y67" s="96">
        <v>1</v>
      </c>
      <c r="Z67" s="39">
        <v>101.51654052734375</v>
      </c>
      <c r="AA67" s="97"/>
      <c r="AB67" s="135"/>
      <c r="AC67" s="135"/>
      <c r="AD67" s="135"/>
      <c r="AE67" s="135"/>
      <c r="AF67" s="39"/>
    </row>
    <row r="68" spans="1:32" s="12" customFormat="1" ht="16.95" hidden="1" x14ac:dyDescent="0.3">
      <c r="A68" s="58"/>
      <c r="B68" s="13"/>
      <c r="C68" s="19">
        <f>$C$58*
(SIGN($F67)+SIGN($G67)+SIGN($H67)+SIGN($I67)
+SIGN($J67)+SIGN($K67)+SIGN($L67)+SIGN($M67)
+SIGN($N67)+SIGN($O67)+SIGN($P67)+SIGN($Q67)
+SIGN($R67)+SIGN($S67)+SIGN($T67))</f>
        <v>2</v>
      </c>
      <c r="D68" s="20">
        <f>$B67-$C68-$C$57*
(ROUNDDOWN(($F67-$C$58)/$C$57,0)+ROUNDDOWN(($G67-$C$58)/$C$57,0)
+ROUNDDOWN(($H67-$C$58)/$C$57,0)+ROUNDDOWN(($I67-$C$58)/$C$57,0)
+ROUNDDOWN(($J67-$C$58)/$C$57,0)+ROUNDDOWN(($K67-$C$58)/$C$57,0)
+ROUNDDOWN(($L67-$C$58)/$C$57,0)+ROUNDDOWN(($M67-$C$58)/$C$57,0)
+ROUNDDOWN(($N67-$C$58)/$C$57,0)+ROUNDDOWN(($O67-$C$58)/$C$57,0)
+ROUNDDOWN(($P67-$C$58)/$C$57,0)+ROUNDDOWN(($Q67-$C$58)/$C$57,0)
+ROUNDDOWN(($R67-$C$58)/$C$57,0)+ROUNDDOWN(($S67-$C$58)/$C$57,0)
+ROUNDDOWN(($T67-$C$58)/$C$57,0))</f>
        <v>1.4813727928376181</v>
      </c>
      <c r="E68" s="32">
        <f t="shared" si="7"/>
        <v>0</v>
      </c>
      <c r="F68" s="78"/>
      <c r="G68" s="79"/>
      <c r="H68" s="79"/>
      <c r="I68" s="79"/>
      <c r="J68" s="107"/>
      <c r="K68" s="107"/>
      <c r="L68" s="107"/>
      <c r="M68" s="108"/>
      <c r="N68" s="104"/>
      <c r="O68" s="104"/>
      <c r="P68" s="104"/>
      <c r="Q68" s="104"/>
      <c r="R68" s="104"/>
      <c r="S68" s="104"/>
      <c r="T68" s="104"/>
      <c r="U68" s="104"/>
      <c r="V68" s="39"/>
      <c r="W68" s="17"/>
      <c r="X68" s="96"/>
      <c r="Y68" s="96"/>
      <c r="Z68" s="39"/>
      <c r="AA68" s="97"/>
      <c r="AB68" s="135"/>
      <c r="AC68" s="135"/>
      <c r="AD68" s="135"/>
      <c r="AE68" s="135"/>
      <c r="AF68" s="39"/>
    </row>
    <row r="69" spans="1:32" s="12" customFormat="1" ht="16.95" hidden="1" x14ac:dyDescent="0.3">
      <c r="A69" s="58"/>
      <c r="B69" s="13"/>
      <c r="C69" s="22"/>
      <c r="D69" s="22"/>
      <c r="E69" s="32">
        <f t="shared" si="7"/>
        <v>0</v>
      </c>
      <c r="F69" s="78"/>
      <c r="G69" s="79"/>
      <c r="H69" s="79"/>
      <c r="I69" s="79"/>
      <c r="J69" s="107"/>
      <c r="K69" s="107"/>
      <c r="L69" s="107"/>
      <c r="M69" s="108"/>
      <c r="N69" s="104"/>
      <c r="O69" s="104"/>
      <c r="P69" s="104"/>
      <c r="Q69" s="104"/>
      <c r="R69" s="104"/>
      <c r="S69" s="104"/>
      <c r="T69" s="104"/>
      <c r="U69" s="104"/>
      <c r="V69" s="39"/>
      <c r="W69" s="17"/>
      <c r="X69" s="96"/>
      <c r="Y69" s="96"/>
      <c r="Z69" s="39"/>
      <c r="AA69" s="97"/>
      <c r="AB69" s="135"/>
      <c r="AC69" s="135"/>
      <c r="AD69" s="135"/>
      <c r="AE69" s="135"/>
      <c r="AF69" s="39"/>
    </row>
    <row r="70" spans="1:32" s="12" customFormat="1" ht="18" x14ac:dyDescent="0.35">
      <c r="A70" s="60">
        <f>Лист1!I$3</f>
        <v>8.5</v>
      </c>
      <c r="B70" s="13">
        <f>Лист1!I$16</f>
        <v>235.11145859238997</v>
      </c>
      <c r="C70" s="14">
        <f>($B70-$C$57* (
  ROUNDDOWN(($F70-$C$58)/$C$57,0) + ROUNDDOWN(($G70-$C$58)/$C$57,0)
+ROUNDDOWN(($H70-$C$58)/$C$57,0) + ROUNDDOWN(($I70-$C$58)/$C$57,0)
+ROUNDDOWN(($J70-$C$58)/$C$57,0) +  ROUNDDOWN(($K70-$C$58)/$C$57,0)
+ROUNDDOWN(($L70-$C$58)/$C$57,0) + ROUNDDOWN(($M70-$C$58)/$C$57,0)
+ROUNDDOWN(($N70-$C$58)/$C$57,0) + ROUNDDOWN(($O70-$C$58)/$C$57,0)
+ROUNDDOWN(($P70-$C$58)/$C$57,0) + ROUNDDOWN(($Q70-$C$58)/$C$57,0)
+ROUNDDOWN(($R70-$C$58)/$C$57,0) + ROUNDDOWN(($S70-$C$58)/$C$57,0)
+ROUNDDOWN(($T70-$C$58)/$C$57,0)  )) / $B70 * 100</f>
        <v>2.216590643259547</v>
      </c>
      <c r="D70" s="15">
        <f>C70-E70</f>
        <v>0.85066036847969095</v>
      </c>
      <c r="E70" s="32">
        <f t="shared" si="7"/>
        <v>1.3659302747798561</v>
      </c>
      <c r="F70" s="78">
        <v>122</v>
      </c>
      <c r="G70" s="79">
        <v>115.486328125</v>
      </c>
      <c r="H70" s="79"/>
      <c r="I70" s="79"/>
      <c r="J70" s="107"/>
      <c r="K70" s="107"/>
      <c r="L70" s="107"/>
      <c r="M70" s="108"/>
      <c r="N70" s="104"/>
      <c r="O70" s="104"/>
      <c r="P70" s="104"/>
      <c r="Q70" s="104"/>
      <c r="R70" s="104"/>
      <c r="S70" s="104"/>
      <c r="T70" s="104"/>
      <c r="U70" s="104"/>
      <c r="V70" s="39"/>
      <c r="W70" s="17">
        <f t="shared" si="6"/>
        <v>237.486328125</v>
      </c>
      <c r="X70" s="96">
        <v>19</v>
      </c>
      <c r="Y70" s="96">
        <v>1</v>
      </c>
      <c r="Z70" s="39">
        <v>115.486328125</v>
      </c>
      <c r="AA70" s="97"/>
      <c r="AB70" s="135"/>
      <c r="AC70" s="135"/>
      <c r="AD70" s="135"/>
      <c r="AE70" s="135"/>
      <c r="AF70" s="39"/>
    </row>
    <row r="71" spans="1:32" s="12" customFormat="1" ht="16.95" hidden="1" x14ac:dyDescent="0.3">
      <c r="A71" s="58"/>
      <c r="B71" s="201"/>
      <c r="C71" s="19">
        <f>$C$58*
(SIGN($F70)+SIGN($G70)+SIGN($H70)+SIGN($I70)
+SIGN($J70)+SIGN($K70)+SIGN($L70)+SIGN($M70)
+SIGN($N70)+SIGN($O70)+SIGN($P70)+SIGN($Q70)
+SIGN($R70)+SIGN($S70)+SIGN($T70))</f>
        <v>2</v>
      </c>
      <c r="D71" s="20">
        <f>$B70-$C71-$C$57*
(ROUNDDOWN(($F70-$C$58)/$C$57,0)+ROUNDDOWN(($G70-$C$58)/$C$57,0)
+ROUNDDOWN(($H70-$C$58)/$C$57,0)+ROUNDDOWN(($I70-$C$58)/$C$57,0)
+ROUNDDOWN(($J70-$C$58)/$C$57,0)+ROUNDDOWN(($K70-$C$58)/$C$57,0)
+ROUNDDOWN(($L70-$C$58)/$C$57,0)+ROUNDDOWN(($M70-$C$58)/$C$57,0)
+ROUNDDOWN(($N70-$C$58)/$C$57,0)+ROUNDDOWN(($O70-$C$58)/$C$57,0)
+ROUNDDOWN(($P70-$C$58)/$C$57,0)+ROUNDDOWN(($Q70-$C$58)/$C$57,0)
+ROUNDDOWN(($R70-$C$58)/$C$57,0)+ROUNDDOWN(($S70-$C$58)/$C$57,0)
+ROUNDDOWN(($T70-$C$58)/$C$57,0))</f>
        <v>3.2114585923899597</v>
      </c>
      <c r="E71" s="32">
        <f t="shared" si="7"/>
        <v>0</v>
      </c>
      <c r="F71" s="78"/>
      <c r="G71" s="79"/>
      <c r="H71" s="79"/>
      <c r="I71" s="79"/>
      <c r="J71" s="107"/>
      <c r="K71" s="107"/>
      <c r="L71" s="107"/>
      <c r="M71" s="108"/>
      <c r="N71" s="104"/>
      <c r="O71" s="104"/>
      <c r="P71" s="104"/>
      <c r="Q71" s="104"/>
      <c r="R71" s="104"/>
      <c r="S71" s="104"/>
      <c r="T71" s="104"/>
      <c r="U71" s="104"/>
      <c r="V71" s="198"/>
      <c r="W71" s="35"/>
      <c r="X71" s="96"/>
      <c r="Y71" s="96"/>
      <c r="Z71" s="39"/>
      <c r="AA71" s="97"/>
      <c r="AB71" s="135"/>
      <c r="AC71" s="135"/>
      <c r="AD71" s="135"/>
      <c r="AE71" s="135"/>
      <c r="AF71" s="39"/>
    </row>
    <row r="72" spans="1:32" s="12" customFormat="1" ht="16.95" hidden="1" x14ac:dyDescent="0.3">
      <c r="A72" s="58"/>
      <c r="B72" s="201"/>
      <c r="C72" s="22"/>
      <c r="D72" s="22"/>
      <c r="E72" s="32">
        <f t="shared" si="7"/>
        <v>0</v>
      </c>
      <c r="F72" s="78"/>
      <c r="G72" s="79"/>
      <c r="H72" s="79"/>
      <c r="I72" s="79"/>
      <c r="J72" s="107"/>
      <c r="K72" s="107"/>
      <c r="L72" s="107"/>
      <c r="M72" s="108"/>
      <c r="N72" s="104"/>
      <c r="O72" s="104"/>
      <c r="P72" s="104"/>
      <c r="Q72" s="104"/>
      <c r="R72" s="104"/>
      <c r="S72" s="104"/>
      <c r="T72" s="104"/>
      <c r="U72" s="104"/>
      <c r="V72" s="198"/>
      <c r="W72" s="35"/>
      <c r="X72" s="96"/>
      <c r="Y72" s="96"/>
      <c r="Z72" s="39"/>
      <c r="AA72" s="97"/>
      <c r="AB72" s="135"/>
      <c r="AC72" s="135"/>
      <c r="AD72" s="135"/>
      <c r="AE72" s="135"/>
      <c r="AF72" s="39"/>
    </row>
    <row r="73" spans="1:32" s="12" customFormat="1" ht="18" x14ac:dyDescent="0.35">
      <c r="A73" s="60">
        <f>Лист1!J$3</f>
        <v>9</v>
      </c>
      <c r="B73" s="13">
        <f>Лист1!J$16</f>
        <v>248.9415443919423</v>
      </c>
      <c r="C73" s="14">
        <f>($B73-$C$57* (
  ROUNDDOWN(($F73-$C$58)/$C$57,0) + ROUNDDOWN(($G73-$C$58)/$C$57,0)
+ROUNDDOWN(($H73-$C$58)/$C$57,0) + ROUNDDOWN(($I73-$C$58)/$C$57,0)
+ROUNDDOWN(($J73-$C$58)/$C$57,0) +  ROUNDDOWN(($K73-$C$58)/$C$57,0)
+ROUNDDOWN(($L73-$C$58)/$C$57,0) + ROUNDDOWN(($M73-$C$58)/$C$57,0)
+ROUNDDOWN(($N73-$C$58)/$C$57,0) + ROUNDDOWN(($O73-$C$58)/$C$57,0)
+ROUNDDOWN(($P73-$C$58)/$C$57,0) + ROUNDDOWN(($Q73-$C$58)/$C$57,0)
+ROUNDDOWN(($R73-$C$58)/$C$57,0) + ROUNDDOWN(($S73-$C$58)/$C$57,0)
+ROUNDDOWN(($T73-$C$58)/$C$57,0)  )) / $B73 * 100</f>
        <v>12.509581101863809</v>
      </c>
      <c r="D73" s="15">
        <f>C73-E73</f>
        <v>1.205102188679561</v>
      </c>
      <c r="E73" s="32">
        <f t="shared" si="7"/>
        <v>11.304478913184248</v>
      </c>
      <c r="F73" s="78">
        <v>83.818700154622391</v>
      </c>
      <c r="G73" s="79">
        <v>83.818700154622391</v>
      </c>
      <c r="H73" s="79">
        <v>83.818700154622391</v>
      </c>
      <c r="I73" s="79"/>
      <c r="J73" s="79"/>
      <c r="K73" s="79"/>
      <c r="L73" s="79"/>
      <c r="M73" s="80"/>
      <c r="N73" s="38"/>
      <c r="O73" s="38"/>
      <c r="P73" s="38"/>
      <c r="Q73" s="38"/>
      <c r="R73" s="39"/>
      <c r="S73" s="102"/>
      <c r="T73" s="102"/>
      <c r="U73" s="102"/>
      <c r="V73" s="39" t="s">
        <v>70</v>
      </c>
      <c r="W73" s="17">
        <f>SUM(F73:T73)</f>
        <v>251.45610046386719</v>
      </c>
      <c r="X73" s="135">
        <v>20</v>
      </c>
      <c r="Y73" s="135">
        <v>2</v>
      </c>
      <c r="Z73" s="39">
        <v>7.4561004638671875</v>
      </c>
      <c r="AA73" s="141">
        <v>67.543899536132813</v>
      </c>
      <c r="AB73" s="135">
        <v>6</v>
      </c>
      <c r="AC73" s="135">
        <v>3</v>
      </c>
      <c r="AD73" s="135">
        <v>3</v>
      </c>
      <c r="AE73" s="135">
        <v>2</v>
      </c>
      <c r="AF73" s="39">
        <v>24.2</v>
      </c>
    </row>
    <row r="74" spans="1:32" s="12" customFormat="1" ht="16.95" hidden="1" x14ac:dyDescent="0.3">
      <c r="A74" s="59"/>
      <c r="B74" s="18"/>
      <c r="C74" s="19">
        <f>$C$58*
(SIGN($F73)+SIGN($G73)+SIGN($H73)+SIGN($I73)
+SIGN($J73)+SIGN($K73)+SIGN($L73)+SIGN($M73)
+SIGN($N73)+SIGN($O73)+SIGN($P73)+SIGN($Q73)
+SIGN($R73)+SIGN($S73)+SIGN($T73))</f>
        <v>3</v>
      </c>
      <c r="D74" s="20">
        <f>$B73-$C74-$C$57*
(ROUNDDOWN(($F73-$C$58)/$C$57,0)+ROUNDDOWN(($G73-$C$58)/$C$57,0)
+ROUNDDOWN(($H73-$C$58)/$C$57,0)+ROUNDDOWN(($I73-$C$58)/$C$57,0)
+ROUNDDOWN(($J73-$C$58)/$C$57,0)+ROUNDDOWN(($K73-$C$58)/$C$57,0)
+ROUNDDOWN(($L73-$C$58)/$C$57,0)+ROUNDDOWN(($M73-$C$58)/$C$57,0)
+ROUNDDOWN(($N73-$C$58)/$C$57,0)+ROUNDDOWN(($O73-$C$58)/$C$57,0)
+ROUNDDOWN(($P73-$C$58)/$C$57,0)+ROUNDDOWN(($Q73-$C$58)/$C$57,0)
+ROUNDDOWN(($R73-$C$58)/$C$57,0)+ROUNDDOWN(($S73-$C$58)/$C$57,0)
+ROUNDDOWN(($T73-$C$58)/$C$57,0))</f>
        <v>28.141544391942318</v>
      </c>
      <c r="E74" s="32">
        <f t="shared" si="7"/>
        <v>0</v>
      </c>
      <c r="F74" s="109"/>
      <c r="G74" s="109"/>
      <c r="H74" s="109"/>
      <c r="I74" s="109"/>
      <c r="J74" s="109"/>
      <c r="K74" s="109"/>
      <c r="L74" s="109"/>
      <c r="M74" s="106"/>
      <c r="N74" s="42"/>
      <c r="O74" s="43"/>
      <c r="P74" s="21"/>
      <c r="Q74" s="21"/>
      <c r="R74" s="42"/>
      <c r="S74" s="21"/>
      <c r="T74" s="21"/>
      <c r="U74" s="21"/>
      <c r="V74" s="39"/>
      <c r="W74" s="17"/>
      <c r="X74" s="135"/>
      <c r="Y74" s="135"/>
      <c r="Z74" s="39"/>
      <c r="AA74" s="39"/>
      <c r="AB74" s="135"/>
      <c r="AC74" s="135"/>
      <c r="AD74" s="135"/>
      <c r="AE74" s="135"/>
      <c r="AF74" s="39"/>
    </row>
    <row r="75" spans="1:32" s="12" customFormat="1" ht="16.95" hidden="1" x14ac:dyDescent="0.3">
      <c r="A75" s="59"/>
      <c r="B75" s="13"/>
      <c r="C75" s="22"/>
      <c r="D75" s="22"/>
      <c r="E75" s="32">
        <f t="shared" si="7"/>
        <v>0</v>
      </c>
      <c r="F75" s="110"/>
      <c r="G75" s="111"/>
      <c r="H75" s="111"/>
      <c r="I75" s="111"/>
      <c r="J75" s="111"/>
      <c r="K75" s="111"/>
      <c r="L75" s="112"/>
      <c r="M75" s="113"/>
      <c r="P75" s="38"/>
      <c r="Q75" s="38"/>
      <c r="R75" s="39"/>
      <c r="S75" s="102"/>
      <c r="T75" s="102"/>
      <c r="U75" s="102"/>
      <c r="V75" s="39"/>
      <c r="W75" s="17"/>
      <c r="X75" s="135"/>
      <c r="Y75" s="135"/>
      <c r="Z75" s="39"/>
      <c r="AA75" s="39"/>
      <c r="AB75" s="135"/>
      <c r="AC75" s="135"/>
      <c r="AD75" s="135"/>
      <c r="AE75" s="135"/>
      <c r="AF75" s="39"/>
    </row>
    <row r="76" spans="1:32" s="12" customFormat="1" ht="18" x14ac:dyDescent="0.35">
      <c r="A76" s="60">
        <f>Лист1!K$3</f>
        <v>9.5</v>
      </c>
      <c r="B76" s="13">
        <f>Лист1!K$16</f>
        <v>262.77163019149464</v>
      </c>
      <c r="C76" s="14">
        <f>($B76-$C$57* (
  ROUNDDOWN(($F76-$C$58)/$C$57,0) + ROUNDDOWN(($G76-$C$58)/$C$57,0)
+ROUNDDOWN(($H76-$C$58)/$C$57,0) + ROUNDDOWN(($I76-$C$58)/$C$57,0)
+ROUNDDOWN(($J76-$C$58)/$C$57,0) +  ROUNDDOWN(($K76-$C$58)/$C$57,0)
+ROUNDDOWN(($L76-$C$58)/$C$57,0) + ROUNDDOWN(($M76-$C$58)/$C$57,0)
+ROUNDDOWN(($N76-$C$58)/$C$57,0) + ROUNDDOWN(($O76-$C$58)/$C$57,0)
+ROUNDDOWN(($P76-$C$58)/$C$57,0) + ROUNDDOWN(($Q76-$C$58)/$C$57,0)
+ROUNDDOWN(($R76-$C$58)/$C$57,0) + ROUNDDOWN(($S76-$C$58)/$C$57,0)
+ROUNDDOWN(($T76-$C$58)/$C$57,0)  )) / $B76 * 100</f>
        <v>3.3000633231126204</v>
      </c>
      <c r="D76" s="15">
        <f>C76-E76</f>
        <v>1.1416757576964276</v>
      </c>
      <c r="E76" s="32">
        <f t="shared" si="7"/>
        <v>2.1583875654161928</v>
      </c>
      <c r="F76" s="78">
        <v>85.7</v>
      </c>
      <c r="G76" s="79">
        <v>85.7</v>
      </c>
      <c r="H76" s="79">
        <v>94.025903320312494</v>
      </c>
      <c r="I76" s="79"/>
      <c r="J76" s="79"/>
      <c r="K76" s="79"/>
      <c r="L76" s="79"/>
      <c r="M76" s="80"/>
      <c r="N76" s="38"/>
      <c r="O76" s="38"/>
      <c r="P76" s="38"/>
      <c r="Q76" s="38"/>
      <c r="R76" s="39"/>
      <c r="S76" s="102"/>
      <c r="T76" s="102"/>
      <c r="U76" s="102"/>
      <c r="V76" s="39"/>
      <c r="W76" s="17">
        <f>SUM(F76:T76)</f>
        <v>265.4259033203125</v>
      </c>
      <c r="X76" s="135">
        <v>21</v>
      </c>
      <c r="Y76" s="135">
        <v>2</v>
      </c>
      <c r="Z76" s="39">
        <v>21.4259033203125</v>
      </c>
      <c r="AA76" s="39">
        <v>53.5740966796875</v>
      </c>
      <c r="AB76" s="135">
        <v>5</v>
      </c>
      <c r="AC76" s="135">
        <v>3</v>
      </c>
      <c r="AD76" s="135">
        <v>2</v>
      </c>
      <c r="AE76" s="135">
        <v>2</v>
      </c>
      <c r="AF76" s="39">
        <v>12.1</v>
      </c>
    </row>
    <row r="77" spans="1:32" s="12" customFormat="1" ht="16.95" hidden="1" x14ac:dyDescent="0.3">
      <c r="A77" s="59"/>
      <c r="B77" s="13"/>
      <c r="C77" s="19">
        <f>$C$58*
(SIGN($F76)+SIGN($G76)+SIGN($H76)+SIGN($I76)
+SIGN($J76)+SIGN($K76)+SIGN($L76)+SIGN($M76)
+SIGN($N76)+SIGN($O76)+SIGN($P76)+SIGN($Q76)
+SIGN($R76)+SIGN($S76)+SIGN($T76))</f>
        <v>3</v>
      </c>
      <c r="D77" s="20">
        <f>$B76-$C77-$C$57*
(ROUNDDOWN(($F76-$C$58)/$C$57,0)+ROUNDDOWN(($G76-$C$58)/$C$57,0)
+ROUNDDOWN(($H76-$C$58)/$C$57,0)+ROUNDDOWN(($I76-$C$58)/$C$57,0)
+ROUNDDOWN(($J76-$C$58)/$C$57,0)+ROUNDDOWN(($K76-$C$58)/$C$57,0)
+ROUNDDOWN(($L76-$C$58)/$C$57,0)+ROUNDDOWN(($M76-$C$58)/$C$57,0)
+ROUNDDOWN(($N76-$C$58)/$C$57,0)+ROUNDDOWN(($O76-$C$58)/$C$57,0)
+ROUNDDOWN(($P76-$C$58)/$C$57,0)+ROUNDDOWN(($Q76-$C$58)/$C$57,0)
+ROUNDDOWN(($R76-$C$58)/$C$57,0)+ROUNDDOWN(($S76-$C$58)/$C$57,0)
+ROUNDDOWN(($T76-$C$58)/$C$57,0))</f>
        <v>5.6716301914946428</v>
      </c>
      <c r="E77" s="32">
        <f t="shared" si="7"/>
        <v>0</v>
      </c>
      <c r="F77" s="109"/>
      <c r="G77" s="109"/>
      <c r="H77" s="109"/>
      <c r="I77" s="109"/>
      <c r="J77" s="109"/>
      <c r="K77" s="109"/>
      <c r="L77" s="109"/>
      <c r="M77" s="106"/>
      <c r="N77" s="42"/>
      <c r="O77" s="43"/>
      <c r="P77" s="21"/>
      <c r="Q77" s="21"/>
      <c r="R77" s="42"/>
      <c r="S77" s="21"/>
      <c r="T77" s="21"/>
      <c r="U77" s="21"/>
      <c r="V77" s="39"/>
      <c r="W77" s="17"/>
      <c r="X77" s="135"/>
      <c r="Y77" s="135"/>
      <c r="Z77" s="39"/>
      <c r="AA77" s="39"/>
      <c r="AB77" s="135"/>
      <c r="AC77" s="135"/>
      <c r="AD77" s="135"/>
      <c r="AE77" s="135"/>
      <c r="AF77" s="39"/>
    </row>
    <row r="78" spans="1:32" s="12" customFormat="1" ht="16.95" hidden="1" x14ac:dyDescent="0.3">
      <c r="A78" s="59"/>
      <c r="B78" s="13"/>
      <c r="C78" s="22"/>
      <c r="D78" s="22"/>
      <c r="E78" s="32">
        <f t="shared" si="7"/>
        <v>0</v>
      </c>
      <c r="F78" s="110"/>
      <c r="G78" s="111"/>
      <c r="H78" s="111"/>
      <c r="I78" s="111"/>
      <c r="J78" s="111"/>
      <c r="K78" s="111"/>
      <c r="L78" s="112"/>
      <c r="M78" s="113"/>
      <c r="P78" s="38"/>
      <c r="Q78" s="38"/>
      <c r="R78" s="39"/>
      <c r="S78" s="102"/>
      <c r="T78" s="102"/>
      <c r="U78" s="102"/>
      <c r="V78" s="39"/>
      <c r="W78" s="17"/>
      <c r="X78" s="135"/>
      <c r="Y78" s="135"/>
      <c r="Z78" s="39"/>
      <c r="AA78" s="39"/>
      <c r="AB78" s="135"/>
      <c r="AC78" s="135"/>
      <c r="AD78" s="135"/>
      <c r="AE78" s="135"/>
      <c r="AF78" s="39"/>
    </row>
    <row r="79" spans="1:32" s="12" customFormat="1" ht="18" x14ac:dyDescent="0.35">
      <c r="A79" s="60">
        <f>Лист1!L$3</f>
        <v>10</v>
      </c>
      <c r="B79" s="13">
        <f>Лист1!L$16</f>
        <v>276.601715991047</v>
      </c>
      <c r="C79" s="14">
        <f>($B79-$C$57* (
  ROUNDDOWN(($F79-$C$58)/$C$57,0) + ROUNDDOWN(($G79-$C$58)/$C$57,0)
+ROUNDDOWN(($H79-$C$58)/$C$57,0) + ROUNDDOWN(($I79-$C$58)/$C$57,0)
+ROUNDDOWN(($J79-$C$58)/$C$57,0) +  ROUNDDOWN(($K79-$C$58)/$C$57,0)
+ROUNDDOWN(($L79-$C$58)/$C$57,0) + ROUNDDOWN(($M79-$C$58)/$C$57,0)
+ROUNDDOWN(($N79-$C$58)/$C$57,0) + ROUNDDOWN(($O79-$C$58)/$C$57,0)
+ROUNDDOWN(($P79-$C$58)/$C$57,0) + ROUNDDOWN(($Q79-$C$58)/$C$57,0)
+ROUNDDOWN(($R79-$C$58)/$C$57,0) + ROUNDDOWN(($S79-$C$58)/$C$57,0)
+ROUNDDOWN(($T79-$C$58)/$C$57,0)  )) / $B79 * 100</f>
        <v>3.7605392120501859</v>
      </c>
      <c r="D79" s="15">
        <f>C79-E79</f>
        <v>1.0845919698116058</v>
      </c>
      <c r="E79" s="32">
        <f t="shared" si="7"/>
        <v>2.6759472422385802</v>
      </c>
      <c r="F79" s="78">
        <v>97.8</v>
      </c>
      <c r="G79" s="79">
        <v>85.7</v>
      </c>
      <c r="H79" s="79">
        <v>95.895660400390625</v>
      </c>
      <c r="I79" s="79"/>
      <c r="J79" s="79"/>
      <c r="K79" s="79"/>
      <c r="L79" s="79"/>
      <c r="M79" s="80"/>
      <c r="N79" s="38"/>
      <c r="O79" s="38"/>
      <c r="P79" s="38"/>
      <c r="Q79" s="38"/>
      <c r="R79" s="39"/>
      <c r="S79" s="102"/>
      <c r="T79" s="102"/>
      <c r="U79" s="102"/>
      <c r="V79" s="39"/>
      <c r="W79" s="17">
        <f>SUM(F79:T79)</f>
        <v>279.39566040039063</v>
      </c>
      <c r="X79" s="135">
        <v>23</v>
      </c>
      <c r="Y79" s="135">
        <v>2</v>
      </c>
      <c r="Z79" s="39">
        <v>35.395660400390625</v>
      </c>
      <c r="AA79" s="39">
        <v>39.604339599609375</v>
      </c>
      <c r="AB79" s="135">
        <v>4</v>
      </c>
      <c r="AC79" s="135">
        <v>3</v>
      </c>
      <c r="AD79" s="135">
        <v>2</v>
      </c>
      <c r="AE79" s="135">
        <v>2</v>
      </c>
      <c r="AF79" s="39">
        <v>12.1</v>
      </c>
    </row>
    <row r="80" spans="1:32" s="12" customFormat="1" ht="18.899999999999999" hidden="1" x14ac:dyDescent="0.35">
      <c r="A80" s="60"/>
      <c r="B80" s="13"/>
      <c r="C80" s="19">
        <f>$C$58*
(SIGN($F79)+SIGN($G79)+SIGN($H79)+SIGN($I79)
+SIGN($J79)+SIGN($K79)+SIGN($L79)+SIGN($M79)
+SIGN($N79)+SIGN($O79)+SIGN($P79)+SIGN($Q79)
+SIGN($R79)+SIGN($S79)+SIGN($T79))</f>
        <v>3</v>
      </c>
      <c r="D80" s="20">
        <f>$B79-$C80-$C$57*
(ROUNDDOWN(($F79-$C$58)/$C$57,0)+ROUNDDOWN(($G79-$C$58)/$C$57,0)
+ROUNDDOWN(($H79-$C$58)/$C$57,0)+ROUNDDOWN(($I79-$C$58)/$C$57,0)
+ROUNDDOWN(($J79-$C$58)/$C$57,0)+ROUNDDOWN(($K79-$C$58)/$C$57,0)
+ROUNDDOWN(($L79-$C$58)/$C$57,0)+ROUNDDOWN(($M79-$C$58)/$C$57,0)
+ROUNDDOWN(($N79-$C$58)/$C$57,0)+ROUNDDOWN(($O79-$C$58)/$C$57,0)
+ROUNDDOWN(($P79-$C$58)/$C$57,0)+ROUNDDOWN(($Q79-$C$58)/$C$57,0)
+ROUNDDOWN(($R79-$C$58)/$C$57,0)+ROUNDDOWN(($S79-$C$58)/$C$57,0)
+ROUNDDOWN(($T79-$C$58)/$C$57,0))</f>
        <v>7.4017159910470127</v>
      </c>
      <c r="E80" s="32">
        <f t="shared" si="7"/>
        <v>0</v>
      </c>
      <c r="F80" s="109"/>
      <c r="G80" s="109"/>
      <c r="H80" s="109"/>
      <c r="I80" s="109"/>
      <c r="J80" s="109"/>
      <c r="K80" s="109"/>
      <c r="L80" s="109"/>
      <c r="M80" s="106"/>
      <c r="N80" s="42"/>
      <c r="O80" s="43"/>
      <c r="P80" s="21"/>
      <c r="Q80" s="21"/>
      <c r="R80" s="42"/>
      <c r="S80" s="21"/>
      <c r="T80" s="21"/>
      <c r="U80" s="21"/>
      <c r="V80" s="39"/>
      <c r="W80" s="17"/>
      <c r="X80" s="135"/>
      <c r="Y80" s="135"/>
      <c r="Z80" s="39"/>
      <c r="AA80" s="39"/>
      <c r="AB80" s="135"/>
      <c r="AC80" s="135"/>
      <c r="AD80" s="135"/>
      <c r="AE80" s="135"/>
      <c r="AF80" s="39"/>
    </row>
    <row r="81" spans="1:32" s="12" customFormat="1" ht="18.899999999999999" hidden="1" x14ac:dyDescent="0.35">
      <c r="A81" s="60"/>
      <c r="B81" s="13"/>
      <c r="C81" s="22"/>
      <c r="D81" s="22"/>
      <c r="E81" s="32">
        <f t="shared" si="7"/>
        <v>0</v>
      </c>
      <c r="F81" s="110"/>
      <c r="G81" s="111"/>
      <c r="H81" s="111"/>
      <c r="I81" s="111"/>
      <c r="J81" s="111"/>
      <c r="K81" s="111"/>
      <c r="L81" s="112"/>
      <c r="M81" s="113"/>
      <c r="P81" s="38"/>
      <c r="Q81" s="38"/>
      <c r="R81" s="39"/>
      <c r="S81" s="102"/>
      <c r="T81" s="102"/>
      <c r="U81" s="102"/>
      <c r="V81" s="39"/>
      <c r="W81" s="17"/>
      <c r="X81" s="135"/>
      <c r="Y81" s="135"/>
      <c r="Z81" s="39"/>
      <c r="AA81" s="39"/>
      <c r="AB81" s="135"/>
      <c r="AC81" s="135"/>
      <c r="AD81" s="135"/>
      <c r="AE81" s="135"/>
      <c r="AF81" s="39"/>
    </row>
    <row r="82" spans="1:32" s="12" customFormat="1" ht="18" x14ac:dyDescent="0.35">
      <c r="A82" s="60">
        <f>Лист1!M$3</f>
        <v>10.5</v>
      </c>
      <c r="B82" s="13">
        <f>Лист1!M$16</f>
        <v>290.43180179059937</v>
      </c>
      <c r="C82" s="14">
        <f>($B82-$C$57* (
  ROUNDDOWN(($F82-$C$58)/$C$57,0) + ROUNDDOWN(($G82-$C$58)/$C$57,0)
+ROUNDDOWN(($H82-$C$58)/$C$57,0) + ROUNDDOWN(($I82-$C$58)/$C$57,0)
+ROUNDDOWN(($J82-$C$58)/$C$57,0) +  ROUNDDOWN(($K82-$C$58)/$C$57,0)
+ROUNDDOWN(($L82-$C$58)/$C$57,0) + ROUNDDOWN(($M82-$C$58)/$C$57,0)
+ROUNDDOWN(($N82-$C$58)/$C$57,0) + ROUNDDOWN(($O82-$C$58)/$C$57,0)
+ROUNDDOWN(($P82-$C$58)/$C$57,0) + ROUNDDOWN(($Q82-$C$58)/$C$57,0)
+ROUNDDOWN(($R82-$C$58)/$C$57,0) + ROUNDDOWN(($S82-$C$58)/$C$57,0)
+ROUNDDOWN(($T82-$C$58)/$C$57,0)  )) / $B82 * 100</f>
        <v>4.1771602544222599</v>
      </c>
      <c r="D82" s="15">
        <f>C82-E82</f>
        <v>1.0329447331539106</v>
      </c>
      <c r="E82" s="32">
        <f t="shared" si="7"/>
        <v>3.1442155212683494</v>
      </c>
      <c r="F82" s="78">
        <v>97.8</v>
      </c>
      <c r="G82" s="79">
        <v>97.8</v>
      </c>
      <c r="H82" s="79">
        <v>97.765447998046881</v>
      </c>
      <c r="I82" s="79"/>
      <c r="J82" s="79"/>
      <c r="K82" s="79"/>
      <c r="L82" s="79"/>
      <c r="M82" s="80"/>
      <c r="N82" s="38"/>
      <c r="O82" s="38"/>
      <c r="P82" s="38"/>
      <c r="Q82" s="38"/>
      <c r="R82" s="39"/>
      <c r="S82" s="102"/>
      <c r="T82" s="102"/>
      <c r="U82" s="102"/>
      <c r="V82" s="39"/>
      <c r="W82" s="17">
        <f>SUM(F82:T82)</f>
        <v>293.36544799804688</v>
      </c>
      <c r="X82" s="135">
        <v>24</v>
      </c>
      <c r="Y82" s="135">
        <v>2</v>
      </c>
      <c r="Z82" s="39">
        <v>49.365447998046875</v>
      </c>
      <c r="AA82" s="39">
        <v>25.634552001953125</v>
      </c>
      <c r="AB82" s="135">
        <v>3</v>
      </c>
      <c r="AC82" s="135">
        <v>3</v>
      </c>
      <c r="AD82" s="135">
        <v>2</v>
      </c>
      <c r="AE82" s="135">
        <v>2</v>
      </c>
      <c r="AF82" s="39">
        <v>12.1</v>
      </c>
    </row>
    <row r="83" spans="1:32" s="12" customFormat="1" ht="18.899999999999999" hidden="1" x14ac:dyDescent="0.35">
      <c r="A83" s="60"/>
      <c r="B83" s="13"/>
      <c r="C83" s="19">
        <f>$C$58*
(SIGN($F82)+SIGN($G82)+SIGN($H82)+SIGN($I82)
+SIGN($J82)+SIGN($K82)+SIGN($L82)+SIGN($M82)
+SIGN($N82)+SIGN($O82)+SIGN($P82)+SIGN($Q82)
+SIGN($R82)+SIGN($S82)+SIGN($T82))</f>
        <v>3</v>
      </c>
      <c r="D83" s="20">
        <f>$B82-$C83-$C$57*
(ROUNDDOWN(($F82-$C$58)/$C$57,0)+ROUNDDOWN(($G82-$C$58)/$C$57,0)
+ROUNDDOWN(($H82-$C$58)/$C$57,0)+ROUNDDOWN(($I82-$C$58)/$C$57,0)
+ROUNDDOWN(($J82-$C$58)/$C$57,0)+ROUNDDOWN(($K82-$C$58)/$C$57,0)
+ROUNDDOWN(($L82-$C$58)/$C$57,0)+ROUNDDOWN(($M82-$C$58)/$C$57,0)
+ROUNDDOWN(($N82-$C$58)/$C$57,0)+ROUNDDOWN(($O82-$C$58)/$C$57,0)
+ROUNDDOWN(($P82-$C$58)/$C$57,0)+ROUNDDOWN(($Q82-$C$58)/$C$57,0)
+ROUNDDOWN(($R82-$C$58)/$C$57,0)+ROUNDDOWN(($S82-$C$58)/$C$57,0)
+ROUNDDOWN(($T82-$C$58)/$C$57,0))</f>
        <v>9.1318017905993543</v>
      </c>
      <c r="E83" s="32">
        <f t="shared" si="7"/>
        <v>0</v>
      </c>
      <c r="F83" s="109"/>
      <c r="G83" s="109"/>
      <c r="H83" s="109"/>
      <c r="I83" s="109"/>
      <c r="J83" s="109"/>
      <c r="K83" s="109"/>
      <c r="L83" s="109"/>
      <c r="M83" s="106"/>
      <c r="N83" s="42"/>
      <c r="O83" s="43"/>
      <c r="P83" s="21"/>
      <c r="Q83" s="21"/>
      <c r="R83" s="42"/>
      <c r="S83" s="21"/>
      <c r="T83" s="21"/>
      <c r="U83" s="21"/>
      <c r="V83" s="39"/>
      <c r="W83" s="17"/>
      <c r="X83" s="135"/>
      <c r="Y83" s="135"/>
      <c r="Z83" s="39"/>
      <c r="AA83" s="39"/>
      <c r="AB83" s="135"/>
      <c r="AC83" s="135"/>
      <c r="AD83" s="135"/>
      <c r="AE83" s="135"/>
      <c r="AF83" s="39"/>
    </row>
    <row r="84" spans="1:32" s="12" customFormat="1" ht="18.899999999999999" hidden="1" x14ac:dyDescent="0.35">
      <c r="A84" s="60"/>
      <c r="B84" s="13"/>
      <c r="C84" s="22"/>
      <c r="D84" s="22"/>
      <c r="E84" s="32">
        <f t="shared" si="7"/>
        <v>0</v>
      </c>
      <c r="F84" s="110"/>
      <c r="G84" s="111"/>
      <c r="H84" s="111"/>
      <c r="I84" s="111"/>
      <c r="J84" s="111"/>
      <c r="K84" s="111"/>
      <c r="L84" s="111"/>
      <c r="M84" s="113"/>
      <c r="P84" s="38"/>
      <c r="Q84" s="38"/>
      <c r="R84" s="39"/>
      <c r="S84" s="102"/>
      <c r="T84" s="102"/>
      <c r="U84" s="102"/>
      <c r="V84" s="39"/>
      <c r="W84" s="17"/>
      <c r="X84" s="135"/>
      <c r="Y84" s="135"/>
      <c r="Z84" s="39"/>
      <c r="AA84" s="39"/>
      <c r="AB84" s="135"/>
      <c r="AC84" s="135"/>
      <c r="AD84" s="135"/>
      <c r="AE84" s="135"/>
      <c r="AF84" s="39"/>
    </row>
    <row r="85" spans="1:32" s="12" customFormat="1" ht="18" x14ac:dyDescent="0.35">
      <c r="A85" s="60">
        <f>Лист1!N$3</f>
        <v>11</v>
      </c>
      <c r="B85" s="13">
        <f>Лист1!N$16</f>
        <v>304.26188759015167</v>
      </c>
      <c r="C85" s="14">
        <f>($B85-$C$57* (
  ROUNDDOWN(($F85-$C$58)/$C$57,0) + ROUNDDOWN(($G85-$C$58)/$C$57,0)
+ROUNDDOWN(($H85-$C$58)/$C$57,0) + ROUNDDOWN(($I85-$C$58)/$C$57,0)
+ROUNDDOWN(($J85-$C$58)/$C$57,0) +  ROUNDDOWN(($K85-$C$58)/$C$57,0)
+ROUNDDOWN(($L85-$C$58)/$C$57,0) + ROUNDDOWN(($M85-$C$58)/$C$57,0)
+ROUNDDOWN(($N85-$C$58)/$C$57,0) + ROUNDDOWN(($O85-$C$58)/$C$57,0)
+ROUNDDOWN(($P85-$C$58)/$C$57,0) + ROUNDDOWN(($Q85-$C$58)/$C$57,0)
+ROUNDDOWN(($R85-$C$58)/$C$57,0) + ROUNDDOWN(($S85-$C$58)/$C$57,0)
+ROUNDDOWN(($T85-$C$58)/$C$57,0)  )) / $B85 * 100</f>
        <v>0.5790694339361292</v>
      </c>
      <c r="D85" s="15">
        <f>C85-E85</f>
        <v>0.5790694339361292</v>
      </c>
      <c r="E85" s="32">
        <f t="shared" si="7"/>
        <v>0</v>
      </c>
      <c r="F85" s="78">
        <v>109.9</v>
      </c>
      <c r="G85" s="79">
        <v>97.8</v>
      </c>
      <c r="H85" s="79">
        <v>99.635235595703136</v>
      </c>
      <c r="I85" s="79"/>
      <c r="J85" s="79"/>
      <c r="K85" s="79"/>
      <c r="L85" s="79"/>
      <c r="M85" s="80"/>
      <c r="N85" s="38"/>
      <c r="O85" s="38"/>
      <c r="P85" s="38"/>
      <c r="Q85" s="38"/>
      <c r="R85" s="39"/>
      <c r="S85" s="102"/>
      <c r="T85" s="102"/>
      <c r="U85" s="102"/>
      <c r="V85" s="39"/>
      <c r="W85" s="17">
        <f>SUM(F85:T85)</f>
        <v>307.33523559570313</v>
      </c>
      <c r="X85" s="135">
        <v>25</v>
      </c>
      <c r="Y85" s="135">
        <v>2</v>
      </c>
      <c r="Z85" s="39">
        <v>63.335235595703125</v>
      </c>
      <c r="AA85" s="39">
        <v>11.664764404296875</v>
      </c>
      <c r="AB85" s="135">
        <v>1</v>
      </c>
      <c r="AC85" s="135">
        <v>3</v>
      </c>
      <c r="AD85" s="135">
        <v>1</v>
      </c>
      <c r="AE85" s="135">
        <v>2</v>
      </c>
      <c r="AF85" s="39">
        <v>24.2</v>
      </c>
    </row>
    <row r="86" spans="1:32" s="12" customFormat="1" ht="18.899999999999999" hidden="1" x14ac:dyDescent="0.35">
      <c r="A86" s="60"/>
      <c r="B86" s="13"/>
      <c r="C86" s="19">
        <f>$C$58*
(SIGN($F85)+SIGN($G85)+SIGN($H85)+SIGN($I85)
+SIGN($J85)+SIGN($K85)+SIGN($L85)+SIGN($M85)
+SIGN($N85)+SIGN($O85)+SIGN($P85)+SIGN($Q85)
+SIGN($R85)+SIGN($S85)+SIGN($T85))</f>
        <v>3</v>
      </c>
      <c r="D86" s="20">
        <f>$B85-$C86-$C$57*
(ROUNDDOWN(($F85-$C$58)/$C$57,0)+ROUNDDOWN(($G85-$C$58)/$C$57,0)
+ROUNDDOWN(($H85-$C$58)/$C$57,0)+ROUNDDOWN(($I85-$C$58)/$C$57,0)
+ROUNDDOWN(($J85-$C$58)/$C$57,0)+ROUNDDOWN(($K85-$C$58)/$C$57,0)
+ROUNDDOWN(($L85-$C$58)/$C$57,0)+ROUNDDOWN(($M85-$C$58)/$C$57,0)
+ROUNDDOWN(($N85-$C$58)/$C$57,0)+ROUNDDOWN(($O85-$C$58)/$C$57,0)
+ROUNDDOWN(($P85-$C$58)/$C$57,0)+ROUNDDOWN(($Q85-$C$58)/$C$57,0)
+ROUNDDOWN(($R85-$C$58)/$C$57,0)+ROUNDDOWN(($S85-$C$58)/$C$57,0)
+ROUNDDOWN(($T85-$C$58)/$C$57,0))</f>
        <v>-1.2381124098483269</v>
      </c>
      <c r="E86" s="32">
        <f t="shared" si="7"/>
        <v>0</v>
      </c>
      <c r="F86" s="109"/>
      <c r="G86" s="109"/>
      <c r="H86" s="109"/>
      <c r="I86" s="109"/>
      <c r="J86" s="109"/>
      <c r="K86" s="109"/>
      <c r="L86" s="109"/>
      <c r="M86" s="106"/>
      <c r="N86" s="42"/>
      <c r="O86" s="43"/>
      <c r="P86" s="21"/>
      <c r="Q86" s="21"/>
      <c r="R86" s="42"/>
      <c r="S86" s="21"/>
      <c r="T86" s="21"/>
      <c r="U86" s="21"/>
      <c r="V86" s="39"/>
      <c r="W86" s="17"/>
      <c r="X86" s="135"/>
      <c r="Y86" s="135"/>
      <c r="Z86" s="39"/>
      <c r="AA86" s="39"/>
      <c r="AB86" s="135"/>
      <c r="AC86" s="135"/>
      <c r="AD86" s="135"/>
      <c r="AE86" s="135"/>
      <c r="AF86" s="39"/>
    </row>
    <row r="87" spans="1:32" s="12" customFormat="1" ht="18.899999999999999" hidden="1" x14ac:dyDescent="0.35">
      <c r="A87" s="60"/>
      <c r="B87" s="13"/>
      <c r="C87" s="22"/>
      <c r="D87" s="22"/>
      <c r="E87" s="32">
        <f t="shared" si="7"/>
        <v>0</v>
      </c>
      <c r="F87" s="110"/>
      <c r="G87" s="111"/>
      <c r="H87" s="111"/>
      <c r="I87" s="111"/>
      <c r="J87" s="111"/>
      <c r="K87" s="111"/>
      <c r="L87" s="111"/>
      <c r="M87" s="113"/>
      <c r="P87" s="38"/>
      <c r="Q87" s="38"/>
      <c r="R87" s="39"/>
      <c r="S87" s="102"/>
      <c r="T87" s="102"/>
      <c r="U87" s="102"/>
      <c r="V87" s="39"/>
      <c r="W87" s="17"/>
      <c r="X87" s="135"/>
      <c r="Y87" s="135"/>
      <c r="Z87" s="39"/>
      <c r="AA87" s="39"/>
      <c r="AB87" s="135"/>
      <c r="AC87" s="135"/>
      <c r="AD87" s="135"/>
      <c r="AE87" s="135"/>
      <c r="AF87" s="39"/>
    </row>
    <row r="88" spans="1:32" s="12" customFormat="1" ht="18" x14ac:dyDescent="0.35">
      <c r="A88" s="60">
        <f>Лист1!O$3</f>
        <v>11.2</v>
      </c>
      <c r="B88" s="13">
        <f>Лист1!O$16</f>
        <v>309.7939219099726</v>
      </c>
      <c r="C88" s="14">
        <f>($B88-$C$57* (
  ROUNDDOWN(($F88-$C$58)/$C$57,0) + ROUNDDOWN(($G88-$C$58)/$C$57,0)
+ROUNDDOWN(($H88-$C$58)/$C$57,0) + ROUNDDOWN(($I88-$C$58)/$C$57,0)
+ROUNDDOWN(($J88-$C$58)/$C$57,0) +  ROUNDDOWN(($K88-$C$58)/$C$57,0)
+ROUNDDOWN(($L88-$C$58)/$C$57,0) + ROUNDDOWN(($M88-$C$58)/$C$57,0)
+ROUNDDOWN(($N88-$C$58)/$C$57,0) + ROUNDDOWN(($O88-$C$58)/$C$57,0)
+ROUNDDOWN(($P88-$C$58)/$C$57,0) + ROUNDDOWN(($Q88-$C$58)/$C$57,0)
+ROUNDDOWN(($R88-$C$58)/$C$57,0) + ROUNDDOWN(($S88-$C$58)/$C$57,0)
+ROUNDDOWN(($T88-$C$58)/$C$57,0)  )) / $B88 * 100</f>
        <v>2.3544431940444075</v>
      </c>
      <c r="D88" s="15">
        <f>C88-E88</f>
        <v>0.96838568733179109</v>
      </c>
      <c r="E88" s="32">
        <f t="shared" si="7"/>
        <v>1.3860575067126164</v>
      </c>
      <c r="F88" s="78">
        <v>109.9</v>
      </c>
      <c r="G88" s="79">
        <v>97.8</v>
      </c>
      <c r="H88" s="79">
        <v>105.22315673828126</v>
      </c>
      <c r="I88" s="79"/>
      <c r="J88" s="79"/>
      <c r="K88" s="79"/>
      <c r="L88" s="79"/>
      <c r="M88" s="80"/>
      <c r="N88" s="38"/>
      <c r="O88" s="38"/>
      <c r="P88" s="38"/>
      <c r="Q88" s="38"/>
      <c r="R88" s="39"/>
      <c r="S88" s="102"/>
      <c r="T88" s="102"/>
      <c r="U88" s="102"/>
      <c r="V88" s="39"/>
      <c r="W88" s="17">
        <f>SUM(F88:T88)</f>
        <v>312.92315673828125</v>
      </c>
      <c r="X88" s="135">
        <v>25</v>
      </c>
      <c r="Y88" s="135">
        <v>2</v>
      </c>
      <c r="Z88" s="39">
        <v>68.92315673828125</v>
      </c>
      <c r="AA88" s="39">
        <v>6.07684326171875</v>
      </c>
      <c r="AB88" s="135">
        <v>1</v>
      </c>
      <c r="AC88" s="135">
        <v>3</v>
      </c>
      <c r="AD88" s="135">
        <v>1</v>
      </c>
      <c r="AE88" s="135">
        <v>2</v>
      </c>
      <c r="AF88" s="39">
        <v>24.2</v>
      </c>
    </row>
    <row r="89" spans="1:32" s="12" customFormat="1" ht="18.899999999999999" hidden="1" x14ac:dyDescent="0.35">
      <c r="A89" s="60"/>
      <c r="B89" s="13"/>
      <c r="C89" s="19">
        <f>$C$58*
(SIGN($F88)+SIGN($G88)+SIGN($H88)+SIGN($I88)
+SIGN($J88)+SIGN($K88)+SIGN($L88)+SIGN($M88)
+SIGN($N88)+SIGN($O88)+SIGN($P88)+SIGN($Q88)
+SIGN($R88)+SIGN($S88)+SIGN($T88))</f>
        <v>3</v>
      </c>
      <c r="D89" s="20">
        <f>$B88-$C89-$C$57*
(ROUNDDOWN(($F88-$C$58)/$C$57,0)+ROUNDDOWN(($G88-$C$58)/$C$57,0)
+ROUNDDOWN(($H88-$C$58)/$C$57,0)+ROUNDDOWN(($I88-$C$58)/$C$57,0)
+ROUNDDOWN(($J88-$C$58)/$C$57,0)+ROUNDDOWN(($K88-$C$58)/$C$57,0)
+ROUNDDOWN(($L88-$C$58)/$C$57,0)+ROUNDDOWN(($M88-$C$58)/$C$57,0)
+ROUNDDOWN(($N88-$C$58)/$C$57,0)+ROUNDDOWN(($O88-$C$58)/$C$57,0)
+ROUNDDOWN(($P88-$C$58)/$C$57,0)+ROUNDDOWN(($Q88-$C$58)/$C$57,0)
+ROUNDDOWN(($R88-$C$58)/$C$57,0)+ROUNDDOWN(($S88-$C$58)/$C$57,0)
+ROUNDDOWN(($T88-$C$58)/$C$57,0))</f>
        <v>4.293921909972596</v>
      </c>
      <c r="E89" s="32">
        <f t="shared" si="7"/>
        <v>0</v>
      </c>
      <c r="F89" s="109"/>
      <c r="G89" s="109"/>
      <c r="H89" s="109"/>
      <c r="I89" s="109"/>
      <c r="J89" s="109"/>
      <c r="K89" s="109"/>
      <c r="L89" s="109"/>
      <c r="M89" s="106"/>
      <c r="N89" s="42"/>
      <c r="O89" s="43"/>
      <c r="P89" s="21"/>
      <c r="Q89" s="21"/>
      <c r="R89" s="42"/>
      <c r="S89" s="21"/>
      <c r="T89" s="21"/>
      <c r="U89" s="21"/>
      <c r="V89" s="39"/>
      <c r="W89" s="17"/>
      <c r="X89" s="135"/>
      <c r="Y89" s="135"/>
      <c r="Z89" s="39"/>
      <c r="AA89" s="39"/>
      <c r="AB89" s="135"/>
      <c r="AC89" s="135"/>
      <c r="AD89" s="135"/>
      <c r="AE89" s="135"/>
      <c r="AF89" s="39"/>
    </row>
    <row r="90" spans="1:32" s="12" customFormat="1" ht="18.899999999999999" hidden="1" x14ac:dyDescent="0.35">
      <c r="A90" s="60"/>
      <c r="B90" s="13"/>
      <c r="C90" s="22"/>
      <c r="D90" s="22"/>
      <c r="E90" s="32">
        <f t="shared" si="7"/>
        <v>0</v>
      </c>
      <c r="F90" s="110"/>
      <c r="G90" s="111"/>
      <c r="H90" s="111"/>
      <c r="I90" s="111"/>
      <c r="J90" s="111"/>
      <c r="K90" s="111"/>
      <c r="L90" s="111"/>
      <c r="M90" s="113"/>
      <c r="P90" s="38"/>
      <c r="Q90" s="38"/>
      <c r="R90" s="39"/>
      <c r="S90" s="102"/>
      <c r="T90" s="102"/>
      <c r="U90" s="102"/>
      <c r="V90" s="39"/>
      <c r="W90" s="17"/>
      <c r="X90" s="135"/>
      <c r="Y90" s="135"/>
      <c r="Z90" s="39"/>
      <c r="AA90" s="39"/>
      <c r="AB90" s="135"/>
      <c r="AC90" s="135"/>
      <c r="AD90" s="135"/>
      <c r="AE90" s="135"/>
      <c r="AF90" s="39"/>
    </row>
    <row r="91" spans="1:32" s="12" customFormat="1" ht="18" x14ac:dyDescent="0.35">
      <c r="A91" s="60">
        <f>Лист1!P$3</f>
        <v>11.4</v>
      </c>
      <c r="B91" s="13">
        <f>Лист1!P$16</f>
        <v>315.32595622979358</v>
      </c>
      <c r="C91" s="14">
        <f>($B91-$C$57* (
  ROUNDDOWN(($F91-$C$58)/$C$57,0) + ROUNDDOWN(($G91-$C$58)/$C$57,0)
+ROUNDDOWN(($H91-$C$58)/$C$57,0) + ROUNDDOWN(($I91-$C$58)/$C$57,0)
+ROUNDDOWN(($J91-$C$58)/$C$57,0) +  ROUNDDOWN(($K91-$C$58)/$C$57,0)
+ROUNDDOWN(($L91-$C$58)/$C$57,0) + ROUNDDOWN(($M91-$C$58)/$C$57,0)
+ROUNDDOWN(($N91-$C$58)/$C$57,0) + ROUNDDOWN(($O91-$C$58)/$C$57,0)
+ROUNDDOWN(($P91-$C$58)/$C$57,0) + ROUNDDOWN(($Q91-$C$58)/$C$57,0)
+ROUNDDOWN(($R91-$C$58)/$C$57,0) + ROUNDDOWN(($S91-$C$58)/$C$57,0)
+ROUNDDOWN(($T91-$C$58)/$C$57,0)  )) / $B91 * 100</f>
        <v>0.2302240635289059</v>
      </c>
      <c r="D91" s="15">
        <f>C91-E91</f>
        <v>0.2302240635289059</v>
      </c>
      <c r="E91" s="32">
        <f t="shared" si="7"/>
        <v>0</v>
      </c>
      <c r="F91" s="78">
        <v>109.9</v>
      </c>
      <c r="G91" s="79">
        <v>109.9</v>
      </c>
      <c r="H91" s="79">
        <v>98.711077880859364</v>
      </c>
      <c r="I91" s="79"/>
      <c r="J91" s="79"/>
      <c r="K91" s="79"/>
      <c r="L91" s="79"/>
      <c r="M91" s="80"/>
      <c r="N91" s="38"/>
      <c r="O91" s="38"/>
      <c r="P91" s="38"/>
      <c r="Q91" s="38"/>
      <c r="R91" s="39"/>
      <c r="S91" s="102"/>
      <c r="T91" s="102"/>
      <c r="U91" s="102"/>
      <c r="V91" s="39"/>
      <c r="W91" s="17">
        <f>SUM(F91:T91)</f>
        <v>318.51107788085938</v>
      </c>
      <c r="X91" s="135">
        <v>26</v>
      </c>
      <c r="Y91" s="135">
        <v>2</v>
      </c>
      <c r="Z91" s="39">
        <v>74.511077880859375</v>
      </c>
      <c r="AA91" s="39">
        <v>0.488922119140625</v>
      </c>
      <c r="AB91" s="135">
        <v>1</v>
      </c>
      <c r="AC91" s="135">
        <v>3</v>
      </c>
      <c r="AD91" s="135">
        <v>1</v>
      </c>
      <c r="AE91" s="135">
        <v>2</v>
      </c>
      <c r="AF91" s="39">
        <v>12.1</v>
      </c>
    </row>
    <row r="92" spans="1:32" s="12" customFormat="1" ht="18.899999999999999" hidden="1" x14ac:dyDescent="0.35">
      <c r="A92" s="60"/>
      <c r="B92" s="13"/>
      <c r="C92" s="19">
        <f>$C$58*
(SIGN($F91)+SIGN($G91)+SIGN($H91)+SIGN($I91)
+SIGN($J91)+SIGN($K91)+SIGN($L91)+SIGN($M91)
+SIGN($N91)+SIGN($O91)+SIGN($P91)+SIGN($Q91)
+SIGN($R91)+SIGN($S91)+SIGN($T91))</f>
        <v>3</v>
      </c>
      <c r="D92" s="20">
        <f>$B91-$C92-$C$57*
(ROUNDDOWN(($F91-$C$58)/$C$57,0)+ROUNDDOWN(($G91-$C$58)/$C$57,0)
+ROUNDDOWN(($H91-$C$58)/$C$57,0)+ROUNDDOWN(($I91-$C$58)/$C$57,0)
+ROUNDDOWN(($J91-$C$58)/$C$57,0)+ROUNDDOWN(($K91-$C$58)/$C$57,0)
+ROUNDDOWN(($L91-$C$58)/$C$57,0)+ROUNDDOWN(($M91-$C$58)/$C$57,0)
+ROUNDDOWN(($N91-$C$58)/$C$57,0)+ROUNDDOWN(($O91-$C$58)/$C$57,0)
+ROUNDDOWN(($P91-$C$58)/$C$57,0)+ROUNDDOWN(($Q91-$C$58)/$C$57,0)
+ROUNDDOWN(($R91-$C$58)/$C$57,0)+ROUNDDOWN(($S91-$C$58)/$C$57,0)
+ROUNDDOWN(($T91-$C$58)/$C$57,0))</f>
        <v>-2.27404377020639</v>
      </c>
      <c r="E92" s="32">
        <f t="shared" si="7"/>
        <v>0</v>
      </c>
      <c r="F92" s="109"/>
      <c r="G92" s="109"/>
      <c r="H92" s="109"/>
      <c r="I92" s="109"/>
      <c r="J92" s="109"/>
      <c r="K92" s="109"/>
      <c r="L92" s="109"/>
      <c r="M92" s="106"/>
      <c r="N92" s="42"/>
      <c r="O92" s="43"/>
      <c r="P92" s="21"/>
      <c r="Q92" s="21"/>
      <c r="R92" s="42"/>
      <c r="S92" s="21"/>
      <c r="T92" s="21"/>
      <c r="U92" s="21"/>
      <c r="V92" s="39"/>
      <c r="W92" s="17"/>
      <c r="X92" s="135"/>
      <c r="Y92" s="135"/>
      <c r="Z92" s="39"/>
      <c r="AA92" s="39"/>
      <c r="AB92" s="135"/>
      <c r="AC92" s="135"/>
      <c r="AD92" s="135"/>
      <c r="AE92" s="135"/>
      <c r="AF92" s="39"/>
    </row>
    <row r="93" spans="1:32" s="12" customFormat="1" ht="18.899999999999999" hidden="1" x14ac:dyDescent="0.35">
      <c r="A93" s="60"/>
      <c r="B93" s="13"/>
      <c r="C93" s="22"/>
      <c r="D93" s="22"/>
      <c r="E93" s="32">
        <f t="shared" si="7"/>
        <v>0</v>
      </c>
      <c r="F93" s="110"/>
      <c r="G93" s="111"/>
      <c r="H93" s="111"/>
      <c r="I93" s="111"/>
      <c r="J93" s="111"/>
      <c r="K93" s="111"/>
      <c r="L93" s="111"/>
      <c r="M93" s="113"/>
      <c r="P93" s="38"/>
      <c r="Q93" s="38"/>
      <c r="R93" s="39"/>
      <c r="S93" s="102"/>
      <c r="T93" s="102"/>
      <c r="U93" s="102"/>
      <c r="V93" s="39"/>
      <c r="W93" s="17"/>
      <c r="X93" s="135"/>
      <c r="Y93" s="135"/>
      <c r="Z93" s="39"/>
      <c r="AA93" s="39"/>
      <c r="AB93" s="135"/>
      <c r="AC93" s="135"/>
      <c r="AD93" s="135"/>
      <c r="AE93" s="135"/>
      <c r="AF93" s="39"/>
    </row>
    <row r="94" spans="1:32" s="12" customFormat="1" ht="18" x14ac:dyDescent="0.35">
      <c r="A94" s="60">
        <f>Лист1!Q$3</f>
        <v>11.6</v>
      </c>
      <c r="B94" s="27">
        <f>Лист1!Q$16</f>
        <v>320.8579905496145</v>
      </c>
      <c r="C94" s="14">
        <f>($B94-$C$57* (
  ROUNDDOWN(($F94-$C$58)/$C$57,0) + ROUNDDOWN(($G94-$C$58)/$C$57,0)
+ROUNDDOWN(($H94-$C$58)/$C$57,0) + ROUNDDOWN(($I94-$C$58)/$C$57,0)
+ROUNDDOWN(($J94-$C$58)/$C$57,0) +  ROUNDDOWN(($K94-$C$58)/$C$57,0)
+ROUNDDOWN(($L94-$C$58)/$C$57,0) + ROUNDDOWN(($M94-$C$58)/$C$57,0)
+ROUNDDOWN(($N94-$C$58)/$C$57,0) + ROUNDDOWN(($O94-$C$58)/$C$57,0)
+ROUNDDOWN(($P94-$C$58)/$C$57,0) + ROUNDDOWN(($Q94-$C$58)/$C$57,0)
+ROUNDDOWN(($R94-$C$58)/$C$57,0) + ROUNDDOWN(($S94-$C$58)/$C$57,0)
+ROUNDDOWN(($T94-$C$58)/$C$57,0)  )) / $B94 * 100</f>
        <v>1.9503926141577126</v>
      </c>
      <c r="D94" s="15">
        <f>C94-E94</f>
        <v>0.934993077423798</v>
      </c>
      <c r="E94" s="32">
        <f t="shared" si="7"/>
        <v>1.0153995367339146</v>
      </c>
      <c r="F94" s="85">
        <v>109.9</v>
      </c>
      <c r="G94" s="82">
        <v>109.9</v>
      </c>
      <c r="H94" s="82">
        <v>104.29896850585936</v>
      </c>
      <c r="I94" s="82"/>
      <c r="J94" s="82"/>
      <c r="K94" s="82"/>
      <c r="L94" s="82"/>
      <c r="M94" s="86"/>
      <c r="N94" s="38"/>
      <c r="O94" s="38"/>
      <c r="P94" s="38"/>
      <c r="Q94" s="38"/>
      <c r="R94" s="39"/>
      <c r="S94" s="102"/>
      <c r="T94" s="102"/>
      <c r="U94" s="102"/>
      <c r="V94" s="199"/>
      <c r="W94" s="28">
        <f>SUM(F94:T94)</f>
        <v>324.09896850585938</v>
      </c>
      <c r="X94" s="135">
        <v>26</v>
      </c>
      <c r="Y94" s="135">
        <v>2</v>
      </c>
      <c r="Z94" s="39">
        <v>80.098968505859375</v>
      </c>
      <c r="AA94" s="39"/>
      <c r="AB94" s="135"/>
      <c r="AC94" s="135">
        <v>3</v>
      </c>
      <c r="AD94" s="135">
        <v>1</v>
      </c>
      <c r="AE94" s="135">
        <v>2</v>
      </c>
      <c r="AF94" s="39">
        <v>24.2</v>
      </c>
    </row>
    <row r="95" spans="1:32" s="12" customFormat="1" ht="18.899999999999999" hidden="1" x14ac:dyDescent="0.35">
      <c r="A95" s="60"/>
      <c r="B95" s="27"/>
      <c r="C95" s="19">
        <f>$C$58*
(SIGN($F94)+SIGN($G94)+SIGN($H94)+SIGN($I94)
+SIGN($J94)+SIGN($K94)+SIGN($L94)+SIGN($M94)
+SIGN($N94)+SIGN($O94)+SIGN($P94)+SIGN($Q94)
+SIGN($R94)+SIGN($S94)+SIGN($T94))</f>
        <v>3</v>
      </c>
      <c r="D95" s="20">
        <f>$B94-$C95-$C$57*
(ROUNDDOWN(($F94-$C$58)/$C$57,0)+ROUNDDOWN(($G94-$C$58)/$C$57,0)
+ROUNDDOWN(($H94-$C$58)/$C$57,0)+ROUNDDOWN(($I94-$C$58)/$C$57,0)
+ROUNDDOWN(($J94-$C$58)/$C$57,0)+ROUNDDOWN(($K94-$C$58)/$C$57,0)
+ROUNDDOWN(($L94-$C$58)/$C$57,0)+ROUNDDOWN(($M94-$C$58)/$C$57,0)
+ROUNDDOWN(($N94-$C$58)/$C$57,0)+ROUNDDOWN(($O94-$C$58)/$C$57,0)
+ROUNDDOWN(($P94-$C$58)/$C$57,0)+ROUNDDOWN(($Q94-$C$58)/$C$57,0)
+ROUNDDOWN(($R94-$C$58)/$C$57,0)+ROUNDDOWN(($S94-$C$58)/$C$57,0)
+ROUNDDOWN(($T94-$C$58)/$C$57,0))</f>
        <v>3.2579905496145329</v>
      </c>
      <c r="E95" s="32">
        <f t="shared" si="7"/>
        <v>0</v>
      </c>
      <c r="F95" s="109"/>
      <c r="G95" s="109"/>
      <c r="H95" s="109"/>
      <c r="I95" s="109"/>
      <c r="J95" s="109"/>
      <c r="K95" s="109"/>
      <c r="L95" s="109"/>
      <c r="M95" s="106"/>
      <c r="N95" s="42"/>
      <c r="O95" s="43"/>
      <c r="P95" s="21"/>
      <c r="Q95" s="21"/>
      <c r="R95" s="42"/>
      <c r="S95" s="21"/>
      <c r="T95" s="21"/>
      <c r="U95" s="21"/>
      <c r="V95" s="39"/>
      <c r="W95" s="17"/>
      <c r="X95" s="135"/>
      <c r="Y95" s="135"/>
      <c r="Z95" s="39"/>
      <c r="AA95" s="39"/>
      <c r="AB95" s="135"/>
      <c r="AC95" s="135"/>
      <c r="AD95" s="135"/>
      <c r="AE95" s="135"/>
      <c r="AF95" s="39"/>
    </row>
    <row r="96" spans="1:32" s="12" customFormat="1" ht="18.899999999999999" hidden="1" x14ac:dyDescent="0.35">
      <c r="A96" s="60"/>
      <c r="B96" s="27"/>
      <c r="C96" s="22"/>
      <c r="D96" s="22"/>
      <c r="E96" s="32">
        <f t="shared" si="7"/>
        <v>0</v>
      </c>
      <c r="F96" s="110"/>
      <c r="G96" s="111"/>
      <c r="H96" s="111"/>
      <c r="I96" s="111"/>
      <c r="J96" s="111"/>
      <c r="K96" s="111"/>
      <c r="L96" s="111"/>
      <c r="M96" s="113"/>
      <c r="P96" s="38"/>
      <c r="Q96" s="38"/>
      <c r="R96" s="39"/>
      <c r="S96" s="102"/>
      <c r="T96" s="102"/>
      <c r="U96" s="102"/>
      <c r="V96" s="39"/>
      <c r="W96" s="17"/>
      <c r="X96" s="135"/>
      <c r="Y96" s="135"/>
      <c r="Z96" s="39"/>
      <c r="AA96" s="39"/>
      <c r="AB96" s="135"/>
      <c r="AC96" s="135"/>
      <c r="AD96" s="135"/>
      <c r="AE96" s="135"/>
      <c r="AF96" s="39"/>
    </row>
    <row r="97" spans="1:35" ht="18" x14ac:dyDescent="0.35">
      <c r="A97" s="60">
        <f>Лист1!R$3</f>
        <v>11.8</v>
      </c>
      <c r="B97" s="13">
        <f>Лист1!R$16</f>
        <v>326.39002486943548</v>
      </c>
      <c r="C97" s="14">
        <f>($B97-$C$57* (
  ROUNDDOWN(($F97-$C$58)/$C$57,0) + ROUNDDOWN(($G97-$C$58)/$C$57,0)
+ROUNDDOWN(($H97-$C$58)/$C$57,0) + ROUNDDOWN(($I97-$C$58)/$C$57,0)
+ROUNDDOWN(($J97-$C$58)/$C$57,0) +  ROUNDDOWN(($K97-$C$58)/$C$57,0)
+ROUNDDOWN(($L97-$C$58)/$C$57,0) + ROUNDDOWN(($M97-$C$58)/$C$57,0)
+ROUNDDOWN(($N97-$C$58)/$C$57,0) + ROUNDDOWN(($O97-$C$58)/$C$57,0)
+ROUNDDOWN(($P97-$C$58)/$C$57,0) + ROUNDDOWN(($Q97-$C$58)/$C$57,0)
+ROUNDDOWN(($R97-$C$58)/$C$57,0) + ROUNDDOWN(($S97-$C$58)/$C$57,0)
+ROUNDDOWN(($T97-$C$58)/$C$57,0)  )) / $B97 * 100</f>
        <v>3.612250366460136</v>
      </c>
      <c r="D97" s="15">
        <f>C97-E97</f>
        <v>0.91914573712847902</v>
      </c>
      <c r="E97" s="32">
        <f t="shared" si="7"/>
        <v>2.693104629331657</v>
      </c>
      <c r="F97" s="78">
        <v>122</v>
      </c>
      <c r="G97" s="79">
        <v>109.9</v>
      </c>
      <c r="H97" s="79">
        <v>97.786889648437494</v>
      </c>
      <c r="I97" s="79"/>
      <c r="J97" s="79"/>
      <c r="K97" s="79"/>
      <c r="L97" s="79"/>
      <c r="M97" s="80"/>
      <c r="N97" s="38"/>
      <c r="O97" s="38"/>
      <c r="P97" s="38"/>
      <c r="Q97" s="38"/>
      <c r="R97" s="39"/>
      <c r="S97" s="102"/>
      <c r="T97" s="102"/>
      <c r="U97" s="102"/>
      <c r="V97" s="39"/>
      <c r="W97" s="17">
        <f>SUM(F97:T97)</f>
        <v>329.6868896484375</v>
      </c>
      <c r="X97" s="135">
        <v>27</v>
      </c>
      <c r="Y97" s="135">
        <v>2</v>
      </c>
      <c r="Z97" s="39">
        <v>85.6868896484375</v>
      </c>
      <c r="AC97" s="135">
        <v>3</v>
      </c>
      <c r="AD97" s="135">
        <v>1</v>
      </c>
      <c r="AE97" s="135">
        <v>1</v>
      </c>
      <c r="AF97" s="39">
        <v>12.1</v>
      </c>
    </row>
    <row r="98" spans="1:35" ht="18.899999999999999" hidden="1" x14ac:dyDescent="0.35">
      <c r="A98" s="60"/>
      <c r="B98" s="13"/>
      <c r="C98" s="19">
        <f>$C$58*
(SIGN($F97)+SIGN($G97)+SIGN($H97)+SIGN($I97)
+SIGN($J97)+SIGN($K97)+SIGN($L97)+SIGN($M97)
+SIGN($N97)+SIGN($O97)+SIGN($P97)+SIGN($Q97)
+SIGN($R97)+SIGN($S97)+SIGN($T97))</f>
        <v>3</v>
      </c>
      <c r="D98" s="20">
        <f>$B97-$C98-$C$57*
(ROUNDDOWN(($F97-$C$58)/$C$57,0)+ROUNDDOWN(($G97-$C$58)/$C$57,0)
+ROUNDDOWN(($H97-$C$58)/$C$57,0)+ROUNDDOWN(($I97-$C$58)/$C$57,0)
+ROUNDDOWN(($J97-$C$58)/$C$57,0)+ROUNDDOWN(($K97-$C$58)/$C$57,0)
+ROUNDDOWN(($L97-$C$58)/$C$57,0)+ROUNDDOWN(($M97-$C$58)/$C$57,0)
+ROUNDDOWN(($N97-$C$58)/$C$57,0)+ROUNDDOWN(($O97-$C$58)/$C$57,0)
+ROUNDDOWN(($P97-$C$58)/$C$57,0)+ROUNDDOWN(($Q97-$C$58)/$C$57,0)
+ROUNDDOWN(($R97-$C$58)/$C$57,0)+ROUNDDOWN(($S97-$C$58)/$C$57,0)
+ROUNDDOWN(($T97-$C$58)/$C$57,0))</f>
        <v>8.7900248694355128</v>
      </c>
      <c r="E98" s="32">
        <f t="shared" si="7"/>
        <v>0</v>
      </c>
      <c r="F98" s="109"/>
      <c r="G98" s="109"/>
      <c r="H98" s="109"/>
      <c r="I98" s="109"/>
      <c r="J98" s="109"/>
      <c r="K98" s="109"/>
      <c r="L98" s="109"/>
      <c r="M98" s="114"/>
      <c r="N98" s="42"/>
      <c r="O98" s="43"/>
      <c r="P98" s="21"/>
      <c r="Q98" s="21"/>
      <c r="R98" s="42"/>
      <c r="S98" s="21"/>
      <c r="T98" s="21"/>
      <c r="U98" s="21"/>
      <c r="V98" s="39"/>
      <c r="W98" s="17"/>
    </row>
    <row r="99" spans="1:35" ht="18.899999999999999" hidden="1" x14ac:dyDescent="0.35">
      <c r="A99" s="60"/>
      <c r="B99" s="13"/>
      <c r="C99" s="22"/>
      <c r="D99" s="22"/>
      <c r="E99" s="32">
        <f t="shared" si="7"/>
        <v>0</v>
      </c>
      <c r="F99" s="110"/>
      <c r="G99" s="111"/>
      <c r="H99" s="111"/>
      <c r="I99" s="111"/>
      <c r="J99" s="111"/>
      <c r="K99" s="111"/>
      <c r="L99" s="111"/>
      <c r="M99" s="115"/>
      <c r="P99" s="38"/>
      <c r="Q99" s="38"/>
      <c r="R99" s="39"/>
      <c r="S99" s="102"/>
      <c r="T99" s="102"/>
      <c r="U99" s="102"/>
      <c r="V99" s="39"/>
      <c r="W99" s="17"/>
    </row>
    <row r="100" spans="1:35" ht="18" x14ac:dyDescent="0.35">
      <c r="A100" s="60">
        <f>Лист1!S$3</f>
        <v>12</v>
      </c>
      <c r="B100" s="13">
        <f>Лист1!S$16</f>
        <v>331.9220591892564</v>
      </c>
      <c r="C100" s="14">
        <f>($B100-$C$57* (
  ROUNDDOWN(($F100-$C$58)/$C$57,0) + ROUNDDOWN(($G100-$C$58)/$C$57,0)
+ROUNDDOWN(($H100-$C$58)/$C$57,0) + ROUNDDOWN(($I100-$C$58)/$C$57,0)
+ROUNDDOWN(($J100-$C$58)/$C$57,0) +  ROUNDDOWN(($K100-$C$58)/$C$57,0)
+ROUNDDOWN(($L100-$C$58)/$C$57,0) + ROUNDDOWN(($M100-$C$58)/$C$57,0)
+ROUNDDOWN(($N100-$C$58)/$C$57,0) + ROUNDDOWN(($O100-$C$58)/$C$57,0)
+ROUNDDOWN(($P100-$C$58)/$C$57,0) + ROUNDDOWN(($Q100-$C$58)/$C$57,0)
+ROUNDDOWN(($R100-$C$58)/$C$57,0) + ROUNDDOWN(($S100-$C$58)/$C$57,0)
+ROUNDDOWN(($T100-$C$58)/$C$57,0)  )) / $B100 * 100</f>
        <v>1.5732787395967804</v>
      </c>
      <c r="D100" s="15">
        <f>C100-E100</f>
        <v>1.5732787395967804</v>
      </c>
      <c r="E100" s="32">
        <f t="shared" si="7"/>
        <v>0</v>
      </c>
      <c r="F100" s="88">
        <v>122</v>
      </c>
      <c r="G100" s="88">
        <v>109.9</v>
      </c>
      <c r="H100" s="88">
        <v>103.37481079101562</v>
      </c>
      <c r="I100" s="88"/>
      <c r="J100" s="88"/>
      <c r="K100" s="88"/>
      <c r="L100" s="88"/>
      <c r="M100" s="89"/>
      <c r="N100" s="38"/>
      <c r="O100" s="38"/>
      <c r="P100" s="38"/>
      <c r="Q100" s="38"/>
      <c r="R100" s="39"/>
      <c r="S100" s="102"/>
      <c r="T100" s="102"/>
      <c r="U100" s="102"/>
      <c r="V100" s="39"/>
      <c r="W100" s="17">
        <f>SUM(F100:T100)</f>
        <v>335.27481079101563</v>
      </c>
      <c r="X100" s="135">
        <v>27</v>
      </c>
      <c r="Y100" s="135">
        <v>2</v>
      </c>
      <c r="Z100" s="39">
        <v>91.274810791015625</v>
      </c>
      <c r="AA100" s="141"/>
      <c r="AC100" s="135">
        <v>3</v>
      </c>
      <c r="AD100" s="135">
        <v>1</v>
      </c>
      <c r="AE100" s="135">
        <v>1</v>
      </c>
      <c r="AF100" s="39">
        <v>12.1</v>
      </c>
    </row>
    <row r="101" spans="1:35" ht="16.95" hidden="1" x14ac:dyDescent="0.3">
      <c r="B101" s="29"/>
      <c r="C101" s="19">
        <f>$C$58*
(SIGN($F100)+SIGN($G100)+SIGN($H100)+SIGN($I100)
+SIGN($J100)+SIGN($K100)+SIGN($L100)+SIGN($M100)
+SIGN($N100)+SIGN($O100)+SIGN($P100)+SIGN($Q100)
+SIGN($R100)+SIGN($S100)+SIGN($T100))</f>
        <v>3</v>
      </c>
      <c r="D101" s="20">
        <f>$B100-$C101-$C$57*
(ROUNDDOWN(($F100-$C$58)/$C$57,0)+ROUNDDOWN(($G100-$C$58)/$C$57,0)
+ROUNDDOWN(($H100-$C$58)/$C$57,0)+ROUNDDOWN(($I100-$C$58)/$C$57,0)
+ROUNDDOWN(($J100-$C$58)/$C$57,0)+ROUNDDOWN(($K100-$C$58)/$C$57,0)
+ROUNDDOWN(($L100-$C$58)/$C$57,0)+ROUNDDOWN(($M100-$C$58)/$C$57,0)
+ROUNDDOWN(($N100-$C$58)/$C$57,0)+ROUNDDOWN(($O100-$C$58)/$C$57,0)
+ROUNDDOWN(($P100-$C$58)/$C$57,0)+ROUNDDOWN(($Q100-$C$58)/$C$57,0)
+ROUNDDOWN(($R100-$C$58)/$C$57,0)+ROUNDDOWN(($S100-$C$58)/$C$57,0)
+ROUNDDOWN(($T100-$C$58)/$C$57,0))</f>
        <v>2.222059189256413</v>
      </c>
      <c r="E101" s="129">
        <f>B100</f>
        <v>331.9220591892564</v>
      </c>
      <c r="F101" s="20">
        <f>C101-F100</f>
        <v>-119</v>
      </c>
      <c r="G101" s="26">
        <f t="shared" ref="G101:M101" si="8">F101-G100</f>
        <v>-228.9</v>
      </c>
      <c r="H101" s="26">
        <f t="shared" si="8"/>
        <v>-332.27481079101563</v>
      </c>
      <c r="I101" s="26">
        <f t="shared" si="8"/>
        <v>-332.27481079101563</v>
      </c>
      <c r="J101" s="26">
        <f t="shared" si="8"/>
        <v>-332.27481079101563</v>
      </c>
      <c r="K101" s="26">
        <f t="shared" si="8"/>
        <v>-332.27481079101563</v>
      </c>
      <c r="L101" s="26">
        <f t="shared" si="8"/>
        <v>-332.27481079101563</v>
      </c>
      <c r="M101" s="26">
        <f t="shared" si="8"/>
        <v>-332.27481079101563</v>
      </c>
      <c r="N101" s="42"/>
      <c r="O101" s="43"/>
      <c r="P101" s="21"/>
      <c r="Q101" s="21"/>
      <c r="R101" s="42"/>
      <c r="S101" s="21"/>
      <c r="T101" s="21"/>
      <c r="U101" s="21"/>
      <c r="V101" s="41"/>
      <c r="W101" s="17"/>
    </row>
    <row r="102" spans="1:35" ht="16.95" hidden="1" x14ac:dyDescent="0.3">
      <c r="B102" s="29"/>
      <c r="C102" s="22"/>
      <c r="D102" s="22"/>
      <c r="E102" s="22">
        <f>IF(B100&gt;0,(B100/ROUNDUP(ROUNDUP(((B100-($C$58*ROUNDUP(B100/$H$58,0)))/$C$57),0)/$H$57,0)-$C$58)/$C$57,0-$C$58/$C$57)</f>
        <v>9.0612137517701488</v>
      </c>
      <c r="F102" s="54">
        <f>IF((($B100-($K$57*(ROUNDDOWN($B100/$K$57,0))))&lt;$E$57)*(($K$57+$B100-$K$57*(ROUNDDOWN($B100/$K$57,0)))&gt;$G$57),(ROUNDUP(($E$57-($B100-($K$57*(ROUNDDOWN($B100/$K$57,0)))))/$D$58,0)),0)</f>
        <v>0</v>
      </c>
      <c r="G102" s="53">
        <f>IF(F102&gt;($I$7-$H$7),($I$7-$H$7),F102)</f>
        <v>-1</v>
      </c>
      <c r="H102" s="53">
        <f>IF((F102-G102)&gt;($I$7-$H$7),($I$7-$H$7),F102-G102)</f>
        <v>-1</v>
      </c>
      <c r="I102" s="53">
        <f>IF((F102-G102-H102)&gt;($I$7-$H$7),($I$7-$H$7),F102-G102-H102)</f>
        <v>-1</v>
      </c>
      <c r="J102" s="53">
        <f>IF((G102-H102-I102)&gt;($I$7-$H$7),($I$7-$H$7),G102-H102-I102)</f>
        <v>-1</v>
      </c>
      <c r="K102" s="53">
        <f>IF((G102-H102-I102-J102)&gt;($I$7-$H$7),($I$7-$H$7),G102-H102-I102-J102)</f>
        <v>-1</v>
      </c>
      <c r="L102" s="53">
        <f>IF((H102-I102-J102-K102)&gt;($I$7-$H$7),($I$7-$H$7),H102-I102-J102-K102)</f>
        <v>-1</v>
      </c>
      <c r="M102" s="53">
        <f>IF((H102-I102-J102-K102-L102)&gt;($I$7-$H$7),($I$7-$H$7),H102-I102-J102-K102-L102)</f>
        <v>-1</v>
      </c>
      <c r="P102" s="38"/>
      <c r="Q102" s="38"/>
      <c r="R102" s="39"/>
      <c r="S102" s="102"/>
      <c r="T102" s="102"/>
      <c r="U102" s="102"/>
      <c r="V102" s="41"/>
      <c r="W102" s="17"/>
    </row>
    <row r="103" spans="1:35" ht="17.399999999999999" x14ac:dyDescent="0.35">
      <c r="B103" s="30" t="s">
        <v>28</v>
      </c>
      <c r="C103" s="31">
        <f>AVERAGE(C61,C64,C67,C70,C73,C76,C79,C82,C85,C88,C91,C94,C97,C100,)</f>
        <v>2.9960886045171713</v>
      </c>
      <c r="D103" s="31">
        <f>AVERAGE(D61,D64,D67,D70,D73,D76,D79,D82,D85,D88,D91,D94,D97,D100,)</f>
        <v>0.93136580966422777</v>
      </c>
      <c r="E103" s="31">
        <f>AVERAGE(E61,E64,E67,E70,E73,E76,E79,E82,E85,E88,E91,E94,E97,E100,)</f>
        <v>2.0647227948529432</v>
      </c>
      <c r="V103" s="38"/>
      <c r="W103" s="40"/>
      <c r="X103" s="96" t="s">
        <v>48</v>
      </c>
      <c r="Y103" s="96" t="s">
        <v>4</v>
      </c>
      <c r="Z103" s="39" t="s">
        <v>49</v>
      </c>
      <c r="AA103" s="97" t="s">
        <v>50</v>
      </c>
      <c r="AB103" s="96" t="s">
        <v>51</v>
      </c>
      <c r="AC103" s="96" t="s">
        <v>52</v>
      </c>
      <c r="AD103" s="96" t="s">
        <v>60</v>
      </c>
      <c r="AE103" s="96" t="s">
        <v>61</v>
      </c>
    </row>
    <row r="104" spans="1:35" ht="17.399999999999999" x14ac:dyDescent="0.35">
      <c r="B104" s="30"/>
      <c r="C104" s="31"/>
      <c r="D104" s="31"/>
      <c r="E104" s="31"/>
      <c r="V104" s="38"/>
      <c r="W104" s="40"/>
    </row>
    <row r="105" spans="1:35" ht="17.399999999999999" x14ac:dyDescent="0.35">
      <c r="B105" s="30"/>
      <c r="C105" s="31"/>
      <c r="D105" s="31"/>
      <c r="E105" s="31"/>
      <c r="V105" s="38"/>
      <c r="W105" s="40"/>
    </row>
    <row r="106" spans="1:35" ht="17.399999999999999" x14ac:dyDescent="0.35">
      <c r="B106" s="29"/>
      <c r="V106" s="38"/>
      <c r="W106" s="40"/>
    </row>
    <row r="107" spans="1:35" s="69" customFormat="1" ht="18" x14ac:dyDescent="0.35">
      <c r="A107" s="212" t="s">
        <v>32</v>
      </c>
      <c r="B107" s="70" t="s">
        <v>44</v>
      </c>
      <c r="C107" s="76">
        <v>12.1</v>
      </c>
      <c r="D107" s="70" t="s">
        <v>45</v>
      </c>
      <c r="E107" s="72">
        <v>125</v>
      </c>
      <c r="F107" s="131" t="s">
        <v>64</v>
      </c>
      <c r="G107" s="77" t="s">
        <v>63</v>
      </c>
      <c r="H107" s="126">
        <v>10</v>
      </c>
      <c r="I107" s="127">
        <f>H107-1</f>
        <v>9</v>
      </c>
      <c r="J107" s="127">
        <f t="shared" ref="J107:M107" si="9">I107-1</f>
        <v>8</v>
      </c>
      <c r="K107" s="127">
        <f t="shared" si="9"/>
        <v>7</v>
      </c>
      <c r="L107" s="127">
        <f t="shared" si="9"/>
        <v>6</v>
      </c>
      <c r="M107" s="127">
        <f t="shared" si="9"/>
        <v>5</v>
      </c>
      <c r="V107" s="169"/>
      <c r="W107" s="73"/>
      <c r="X107" s="139"/>
      <c r="Y107" s="139"/>
      <c r="Z107" s="139"/>
      <c r="AA107" s="139"/>
      <c r="AB107" s="136"/>
      <c r="AC107" s="136"/>
      <c r="AD107" s="136"/>
      <c r="AE107" s="136"/>
      <c r="AF107" s="139"/>
      <c r="AG107" s="136"/>
      <c r="AH107" s="136"/>
      <c r="AI107" s="136"/>
    </row>
    <row r="108" spans="1:35" s="69" customFormat="1" ht="18" x14ac:dyDescent="0.35">
      <c r="A108" s="212"/>
      <c r="B108" s="70" t="s">
        <v>47</v>
      </c>
      <c r="C108" s="71">
        <v>1</v>
      </c>
      <c r="D108" s="70" t="s">
        <v>46</v>
      </c>
      <c r="E108" s="72">
        <v>95</v>
      </c>
      <c r="F108" s="131" t="s">
        <v>65</v>
      </c>
      <c r="G108" s="132">
        <v>1</v>
      </c>
      <c r="H108" s="128">
        <v>122</v>
      </c>
      <c r="I108" s="128">
        <f>I107*$C107+$C108</f>
        <v>109.89999999999999</v>
      </c>
      <c r="J108" s="128">
        <f>J107*$C107+$C108</f>
        <v>97.8</v>
      </c>
      <c r="K108" s="128">
        <f t="shared" ref="K108:M108" si="10">K107*$C107+$C108</f>
        <v>85.7</v>
      </c>
      <c r="L108" s="128">
        <f t="shared" si="10"/>
        <v>73.599999999999994</v>
      </c>
      <c r="M108" s="128">
        <f t="shared" si="10"/>
        <v>61.5</v>
      </c>
      <c r="N108" s="93"/>
      <c r="O108" s="74"/>
      <c r="P108" s="74"/>
      <c r="Q108" s="74"/>
      <c r="R108" s="74"/>
      <c r="S108" s="74"/>
      <c r="T108" s="74"/>
      <c r="U108" s="93"/>
      <c r="V108" s="170"/>
      <c r="W108" s="75"/>
      <c r="X108" s="136"/>
      <c r="Y108" s="136"/>
      <c r="Z108" s="139"/>
      <c r="AA108" s="139"/>
      <c r="AB108" s="136"/>
      <c r="AC108" s="136"/>
      <c r="AD108" s="136"/>
      <c r="AE108" s="136"/>
      <c r="AF108" s="139"/>
      <c r="AG108" s="136"/>
      <c r="AH108" s="136"/>
      <c r="AI108" s="136"/>
    </row>
    <row r="109" spans="1:35" ht="41.55" customHeight="1" x14ac:dyDescent="0.3">
      <c r="A109" s="213"/>
      <c r="B109" s="214" t="s">
        <v>54</v>
      </c>
      <c r="C109" s="216" t="s">
        <v>9</v>
      </c>
      <c r="D109" s="61" t="s">
        <v>31</v>
      </c>
      <c r="E109" s="34" t="s">
        <v>9</v>
      </c>
      <c r="F109" s="218">
        <v>1</v>
      </c>
      <c r="G109" s="218">
        <v>2</v>
      </c>
      <c r="H109" s="220">
        <v>3</v>
      </c>
      <c r="I109" s="220">
        <v>4</v>
      </c>
      <c r="J109" s="222">
        <v>5</v>
      </c>
      <c r="K109" s="222">
        <v>6</v>
      </c>
      <c r="L109" s="222">
        <v>7</v>
      </c>
      <c r="M109" s="222">
        <v>8</v>
      </c>
      <c r="N109" s="104"/>
      <c r="O109" s="104">
        <v>10</v>
      </c>
      <c r="P109" s="104">
        <v>11</v>
      </c>
      <c r="Q109" s="104">
        <v>12</v>
      </c>
      <c r="R109" s="104">
        <v>13</v>
      </c>
      <c r="S109" s="104">
        <v>14</v>
      </c>
      <c r="T109" s="104">
        <v>15</v>
      </c>
      <c r="U109" s="104"/>
      <c r="V109" s="172" t="s">
        <v>69</v>
      </c>
      <c r="W109" s="35"/>
      <c r="X109" s="96"/>
      <c r="Y109" s="96"/>
      <c r="AA109" s="97"/>
    </row>
    <row r="110" spans="1:35" ht="18" x14ac:dyDescent="0.35">
      <c r="A110" s="58" t="s">
        <v>30</v>
      </c>
      <c r="B110" s="215"/>
      <c r="C110" s="217"/>
      <c r="D110" s="130">
        <v>3</v>
      </c>
      <c r="E110" s="37" t="s">
        <v>27</v>
      </c>
      <c r="F110" s="219"/>
      <c r="G110" s="219"/>
      <c r="H110" s="221"/>
      <c r="I110" s="221"/>
      <c r="J110" s="223"/>
      <c r="K110" s="223"/>
      <c r="L110" s="223"/>
      <c r="M110" s="223"/>
      <c r="N110" s="104"/>
      <c r="O110" s="104"/>
      <c r="P110" s="104"/>
      <c r="Q110" s="104"/>
      <c r="R110" s="104"/>
      <c r="S110" s="104"/>
      <c r="T110" s="104"/>
      <c r="U110" s="104"/>
      <c r="V110" s="203">
        <f>($E$107+$E$108)/2</f>
        <v>110</v>
      </c>
      <c r="W110" s="35"/>
      <c r="X110" s="96" t="s">
        <v>48</v>
      </c>
      <c r="Y110" s="96" t="s">
        <v>4</v>
      </c>
      <c r="Z110" s="39" t="s">
        <v>49</v>
      </c>
      <c r="AA110" s="97" t="s">
        <v>50</v>
      </c>
      <c r="AB110" s="96" t="s">
        <v>51</v>
      </c>
      <c r="AC110" s="96" t="s">
        <v>52</v>
      </c>
      <c r="AD110" s="96" t="s">
        <v>60</v>
      </c>
      <c r="AE110" s="96" t="s">
        <v>61</v>
      </c>
    </row>
    <row r="111" spans="1:35" ht="18" x14ac:dyDescent="0.35">
      <c r="A111" s="60">
        <f>Лист1!F$3</f>
        <v>7</v>
      </c>
      <c r="B111" s="13">
        <f>Лист1!F$16</f>
        <v>193.6212011937329</v>
      </c>
      <c r="C111" s="14">
        <f>($B111-$C$107 * (
ROUNDDOWN(($F111-$C$108)/$C$107,0) +   ROUNDDOWN(($G111-$C$108)/$C$107,0)
+ROUNDDOWN(($H111-$C$108)/$C$107,0) + ROUNDDOWN(($I111-$C$108)/$C$107,0)
+ROUNDDOWN(($J111-$C$108)/$C$107,0) +  ROUNDDOWN(($K111-$C$108)/$C$107,0)
+ROUNDDOWN(($L111-$C$108)/$C$107,0) + ROUNDDOWN(($M111-$C$108)/$C$107,0)
+ROUNDDOWN(($N111-$C$108)/$C$107,0) + ROUNDDOWN(($O111-$C$108)/$C$107,0)
+ROUNDDOWN(($P111-$C$108)/$C$107,0) + ROUNDDOWN(($Q111-$C$108)/$C$107,0)
+ROUNDDOWN(($R111-$C$108)/$C$107,0) + ROUNDDOWN(($S111-$C$108)/$C$107,0)
+ROUNDDOWN(($T111-$C$108)/$C$107,0)  )) / $B111 * 100</f>
        <v>12.509581101863798</v>
      </c>
      <c r="D111" s="15">
        <f>C111-E111</f>
        <v>1.0329447331539097</v>
      </c>
      <c r="E111" s="32">
        <f>IF(D112 &gt; $D$110,D112/$B111*100,0)</f>
        <v>11.476636368709888</v>
      </c>
      <c r="F111" s="120">
        <v>97.788482666015625</v>
      </c>
      <c r="G111" s="121">
        <v>97.788482666015625</v>
      </c>
      <c r="H111" s="121"/>
      <c r="I111" s="121"/>
      <c r="J111" s="122"/>
      <c r="K111" s="122"/>
      <c r="L111" s="122"/>
      <c r="M111" s="123"/>
      <c r="N111" s="104"/>
      <c r="O111" s="104"/>
      <c r="P111" s="104"/>
      <c r="Q111" s="104"/>
      <c r="R111" s="104"/>
      <c r="S111" s="104"/>
      <c r="T111" s="104"/>
      <c r="U111" s="104"/>
      <c r="V111" s="39" t="s">
        <v>70</v>
      </c>
      <c r="W111" s="17">
        <f>SUM(F111:T111)</f>
        <v>195.57696533203125</v>
      </c>
      <c r="X111" s="96">
        <v>16</v>
      </c>
      <c r="Y111" s="96">
        <v>1</v>
      </c>
      <c r="Z111" s="39">
        <v>73.57696533203125</v>
      </c>
      <c r="AA111" s="97">
        <v>21.42303466796875</v>
      </c>
      <c r="AB111" s="135">
        <v>2</v>
      </c>
      <c r="AC111" s="135">
        <v>2</v>
      </c>
      <c r="AD111" s="135">
        <v>2</v>
      </c>
      <c r="AE111" s="135">
        <v>1</v>
      </c>
      <c r="AF111" s="39">
        <v>12.1</v>
      </c>
    </row>
    <row r="112" spans="1:35" ht="16.95" hidden="1" x14ac:dyDescent="0.3">
      <c r="A112" s="58"/>
      <c r="B112" s="195"/>
      <c r="C112" s="19">
        <f>$C$108*
(SIGN($F111)+SIGN($G111)+SIGN($H111)+SIGN($I111)
+SIGN($J111)+SIGN($K111)+SIGN($L111)+SIGN($M111)
+SIGN($N111)+SIGN($O111)+SIGN($P111)+SIGN($Q111)
+SIGN($R111)+SIGN($S111)+SIGN($T111))</f>
        <v>2</v>
      </c>
      <c r="D112" s="20">
        <f>$B111-$C112-$C$107*
(ROUNDDOWN(($F111-$C$108)/$C$107,0)+ROUNDDOWN(($G111-$C$108)/$C$107,0)
+ROUNDDOWN(($H111-$C$108)/$C$107,0)+ROUNDDOWN(($I111-$C$108)/$C$107,0)
+ROUNDDOWN(($J111-$C$108)/$C$107,0)+ROUNDDOWN(($K111-$C$108)/$C$107,0)
+ROUNDDOWN(($L111-$C$108)/$C$107,0)+ROUNDDOWN(($M111-$C$108)/$C$107,0)
+ROUNDDOWN(($N111-$C$108)/$C$107,0)+ROUNDDOWN(($O111-$C$108)/$C$107,0)
+ROUNDDOWN(($P111-$C$108)/$C$107,0)+ROUNDDOWN(($Q111-$C$108)/$C$107,0)
+ROUNDDOWN(($R111-$C$108)/$C$107,0)+ROUNDDOWN(($S111-$C$108)/$C$107,0)
+ROUNDDOWN(($T111-$C$108)/$C$107,0))</f>
        <v>22.221201193732895</v>
      </c>
      <c r="E112" s="129">
        <f>B111</f>
        <v>193.6212011937329</v>
      </c>
      <c r="F112" s="120"/>
      <c r="G112" s="121"/>
      <c r="H112" s="121"/>
      <c r="I112" s="121"/>
      <c r="J112" s="122"/>
      <c r="K112" s="122"/>
      <c r="L112" s="122"/>
      <c r="M112" s="123"/>
      <c r="N112" s="104"/>
      <c r="O112" s="104"/>
      <c r="P112" s="104"/>
      <c r="Q112" s="104"/>
      <c r="R112" s="104"/>
      <c r="S112" s="104"/>
      <c r="T112" s="104"/>
      <c r="U112" s="104"/>
      <c r="V112" s="198"/>
      <c r="W112" s="35"/>
      <c r="X112" s="96"/>
      <c r="Y112" s="96"/>
      <c r="AA112" s="97"/>
    </row>
    <row r="113" spans="1:32" s="12" customFormat="1" ht="16.95" hidden="1" x14ac:dyDescent="0.3">
      <c r="A113" s="58"/>
      <c r="B113" s="195"/>
      <c r="C113" s="22"/>
      <c r="D113" s="22"/>
      <c r="E113" s="22">
        <f>IF(B111&gt;0,(B111/ROUNDUP(ROUNDUP(((B111-($C$108*ROUNDUP(B111/$H$108,0)))/$C$107),0)/$H$107,0)-$C$108)/$C$107,0-$C$108/$C$107)</f>
        <v>7.9182314542864836</v>
      </c>
      <c r="F113" s="120"/>
      <c r="G113" s="121"/>
      <c r="H113" s="121"/>
      <c r="I113" s="121"/>
      <c r="J113" s="122"/>
      <c r="K113" s="122"/>
      <c r="L113" s="122"/>
      <c r="M113" s="123"/>
      <c r="N113" s="104"/>
      <c r="O113" s="104"/>
      <c r="P113" s="104"/>
      <c r="Q113" s="104"/>
      <c r="R113" s="104"/>
      <c r="S113" s="104"/>
      <c r="T113" s="104"/>
      <c r="U113" s="104"/>
      <c r="V113" s="198"/>
      <c r="W113" s="35"/>
      <c r="X113" s="96"/>
      <c r="Y113" s="96"/>
      <c r="Z113" s="39"/>
      <c r="AA113" s="97"/>
      <c r="AB113" s="135"/>
      <c r="AC113" s="135"/>
      <c r="AD113" s="135"/>
      <c r="AE113" s="135"/>
      <c r="AF113" s="39"/>
    </row>
    <row r="114" spans="1:32" s="12" customFormat="1" ht="18" x14ac:dyDescent="0.35">
      <c r="A114" s="60">
        <f>Лист1!G$3</f>
        <v>7.5</v>
      </c>
      <c r="B114" s="13">
        <f>Лист1!G$16</f>
        <v>207.45128699328524</v>
      </c>
      <c r="C114" s="14">
        <f>($B114-$C$107 * (
ROUNDDOWN(($F114-$C$108)/$C$107,0) +   ROUNDDOWN(($G114-$C$108)/$C$107,0)
+ROUNDDOWN(($H114-$C$108)/$C$107,0) + ROUNDDOWN(($I114-$C$108)/$C$107,0)
+ROUNDDOWN(($J114-$C$108)/$C$107,0) +  ROUNDDOWN(($K114-$C$108)/$C$107,0)
+ROUNDDOWN(($L114-$C$108)/$C$107,0) + ROUNDDOWN(($M114-$C$108)/$C$107,0)
+ROUNDDOWN(($N114-$C$108)/$C$107,0) + ROUNDDOWN(($O114-$C$108)/$C$107,0)
+ROUNDDOWN(($P114-$C$108)/$C$107,0) + ROUNDDOWN(($Q114-$C$108)/$C$107,0)
+ROUNDDOWN(($R114-$C$108)/$C$107,0) + ROUNDDOWN(($S114-$C$108)/$C$107,0)
+ROUNDDOWN(($T114-$C$108)/$C$107,0)  )) / $B114 * 100</f>
        <v>0.84419191544564087</v>
      </c>
      <c r="D114" s="15">
        <f>C114-E114</f>
        <v>0.84419191544564087</v>
      </c>
      <c r="E114" s="32">
        <f>IF(D115 &gt; $D$110,D115/$B114*100,0)</f>
        <v>0</v>
      </c>
      <c r="F114" s="120">
        <v>97.8</v>
      </c>
      <c r="G114" s="121">
        <v>111.7467529296875</v>
      </c>
      <c r="H114" s="121"/>
      <c r="I114" s="121"/>
      <c r="J114" s="122"/>
      <c r="K114" s="122"/>
      <c r="L114" s="122"/>
      <c r="M114" s="123"/>
      <c r="N114" s="104"/>
      <c r="O114" s="104"/>
      <c r="P114" s="104"/>
      <c r="Q114" s="104"/>
      <c r="R114" s="104"/>
      <c r="S114" s="104"/>
      <c r="T114" s="104"/>
      <c r="U114" s="104"/>
      <c r="V114" s="39"/>
      <c r="W114" s="17">
        <f>SUM(F114:T114)</f>
        <v>209.5467529296875</v>
      </c>
      <c r="X114" s="96">
        <v>17</v>
      </c>
      <c r="Y114" s="96">
        <v>1</v>
      </c>
      <c r="Z114" s="39">
        <v>87.5467529296875</v>
      </c>
      <c r="AA114" s="97">
        <v>7.4532470703125</v>
      </c>
      <c r="AB114" s="135">
        <v>1</v>
      </c>
      <c r="AC114" s="135">
        <v>2</v>
      </c>
      <c r="AD114" s="135">
        <v>1</v>
      </c>
      <c r="AE114" s="135">
        <v>1</v>
      </c>
      <c r="AF114" s="39">
        <v>12.1</v>
      </c>
    </row>
    <row r="115" spans="1:32" s="12" customFormat="1" ht="16.95" hidden="1" x14ac:dyDescent="0.3">
      <c r="A115" s="58"/>
      <c r="B115" s="13"/>
      <c r="C115" s="19">
        <f>$C$108*
(SIGN($F114)+SIGN($G114)+SIGN($H114)+SIGN($I114)
+SIGN($J114)+SIGN($K114)+SIGN($L114)+SIGN($M114)
+SIGN($N114)+SIGN($O114)+SIGN($P114)+SIGN($Q114)
+SIGN($R114)+SIGN($S114)+SIGN($T114))</f>
        <v>2</v>
      </c>
      <c r="D115" s="20">
        <f>$B114-$C115-$C$107*
(ROUNDDOWN(($F114-$C$108)/$C$107,0)+ROUNDDOWN(($G114-$C$108)/$C$107,0)
+ROUNDDOWN(($H114-$C$108)/$C$107,0)+ROUNDDOWN(($I114-$C$108)/$C$107,0)
+ROUNDDOWN(($J114-$C$108)/$C$107,0)+ROUNDDOWN(($K114-$C$108)/$C$107,0)
+ROUNDDOWN(($L114-$C$108)/$C$107,0)+ROUNDDOWN(($M114-$C$108)/$C$107,0)
+ROUNDDOWN(($N114-$C$108)/$C$107,0)+ROUNDDOWN(($O114-$C$108)/$C$107,0)
+ROUNDDOWN(($P114-$C$108)/$C$107,0)+ROUNDDOWN(($Q114-$C$108)/$C$107,0)
+ROUNDDOWN(($R114-$C$108)/$C$107,0)+ROUNDDOWN(($S114-$C$108)/$C$107,0)
+ROUNDDOWN(($T114-$C$108)/$C$107,0))</f>
        <v>-0.24871300671475183</v>
      </c>
      <c r="E115" s="129">
        <f>B114</f>
        <v>207.45128699328524</v>
      </c>
      <c r="F115" s="120"/>
      <c r="G115" s="121"/>
      <c r="H115" s="121"/>
      <c r="I115" s="121"/>
      <c r="J115" s="122"/>
      <c r="K115" s="122"/>
      <c r="L115" s="122"/>
      <c r="M115" s="123"/>
      <c r="N115" s="104"/>
      <c r="O115" s="104"/>
      <c r="P115" s="104"/>
      <c r="Q115" s="104"/>
      <c r="R115" s="104"/>
      <c r="S115" s="104"/>
      <c r="T115" s="104"/>
      <c r="U115" s="104"/>
      <c r="V115" s="198"/>
      <c r="W115" s="35"/>
      <c r="X115" s="96"/>
      <c r="Y115" s="96"/>
      <c r="Z115" s="39"/>
      <c r="AA115" s="97"/>
      <c r="AB115" s="135"/>
      <c r="AC115" s="135"/>
      <c r="AD115" s="135"/>
      <c r="AE115" s="135"/>
      <c r="AF115" s="39"/>
    </row>
    <row r="116" spans="1:32" s="12" customFormat="1" ht="16.95" hidden="1" x14ac:dyDescent="0.3">
      <c r="A116" s="58"/>
      <c r="B116" s="13"/>
      <c r="C116" s="22"/>
      <c r="D116" s="22"/>
      <c r="E116" s="22">
        <f>IF(B114&gt;0,(B114/ROUNDUP(ROUNDUP(((B114-($C$108*ROUNDUP(B114/$H$108,0)))/$C$107),0)/$H$107,0)-$C$108)/$C$107,0-$C$108/$C$107)</f>
        <v>8.4897226030283157</v>
      </c>
      <c r="F116" s="120"/>
      <c r="G116" s="121"/>
      <c r="H116" s="121"/>
      <c r="I116" s="121"/>
      <c r="J116" s="122"/>
      <c r="K116" s="122"/>
      <c r="L116" s="122"/>
      <c r="M116" s="123"/>
      <c r="N116" s="104"/>
      <c r="O116" s="104"/>
      <c r="P116" s="104"/>
      <c r="Q116" s="104"/>
      <c r="R116" s="104"/>
      <c r="S116" s="104"/>
      <c r="T116" s="104"/>
      <c r="U116" s="104"/>
      <c r="V116" s="198"/>
      <c r="W116" s="35"/>
      <c r="X116" s="96"/>
      <c r="Y116" s="96"/>
      <c r="Z116" s="39"/>
      <c r="AA116" s="97"/>
      <c r="AB116" s="135"/>
      <c r="AC116" s="135"/>
      <c r="AD116" s="135"/>
      <c r="AE116" s="135"/>
      <c r="AF116" s="39"/>
    </row>
    <row r="117" spans="1:32" s="12" customFormat="1" ht="18" x14ac:dyDescent="0.35">
      <c r="A117" s="60">
        <f>Лист1!H$3</f>
        <v>8</v>
      </c>
      <c r="B117" s="13">
        <f>Лист1!H$16</f>
        <v>221.2813727928376</v>
      </c>
      <c r="C117" s="14">
        <f>($B117-$C$107 * (
ROUNDDOWN(($F117-$C$108)/$C$107,0) +   ROUNDDOWN(($G117-$C$108)/$C$107,0)
+ROUNDDOWN(($H117-$C$108)/$C$107,0) + ROUNDDOWN(($I117-$C$108)/$C$107,0)
+ROUNDDOWN(($J117-$C$108)/$C$107,0) +  ROUNDDOWN(($K117-$C$108)/$C$107,0)
+ROUNDDOWN(($L117-$C$108)/$C$107,0) + ROUNDDOWN(($M117-$C$108)/$C$107,0)
+ROUNDDOWN(($N117-$C$108)/$C$107,0) + ROUNDDOWN(($O117-$C$108)/$C$107,0)
+ROUNDDOWN(($P117-$C$108)/$C$107,0) + ROUNDDOWN(($Q117-$C$108)/$C$107,0)
+ROUNDDOWN(($R117-$C$108)/$C$107,0) + ROUNDDOWN(($S117-$C$108)/$C$107,0)
+ROUNDDOWN(($T117-$C$108)/$C$107,0)  )) / $B117 * 100</f>
        <v>1.5732787395967847</v>
      </c>
      <c r="D117" s="15">
        <f>C117-E117</f>
        <v>1.5732787395967847</v>
      </c>
      <c r="E117" s="32">
        <f>IF(D118 &gt; $D$110,D118/$B117*100,0)</f>
        <v>0</v>
      </c>
      <c r="F117" s="120">
        <v>109.9</v>
      </c>
      <c r="G117" s="121">
        <v>113.61654052734374</v>
      </c>
      <c r="H117" s="121"/>
      <c r="I117" s="121"/>
      <c r="J117" s="122"/>
      <c r="K117" s="122"/>
      <c r="L117" s="122"/>
      <c r="M117" s="123"/>
      <c r="N117" s="104"/>
      <c r="O117" s="104"/>
      <c r="P117" s="104"/>
      <c r="Q117" s="104"/>
      <c r="R117" s="104"/>
      <c r="S117" s="104"/>
      <c r="T117" s="104"/>
      <c r="U117" s="104"/>
      <c r="V117" s="39"/>
      <c r="W117" s="17">
        <f>SUM(F117:T117)</f>
        <v>223.51654052734375</v>
      </c>
      <c r="X117" s="96">
        <v>18</v>
      </c>
      <c r="Y117" s="96">
        <v>1</v>
      </c>
      <c r="Z117" s="39">
        <v>101.51654052734375</v>
      </c>
      <c r="AA117" s="97"/>
      <c r="AB117" s="135"/>
      <c r="AC117" s="135">
        <v>2</v>
      </c>
      <c r="AD117" s="135">
        <v>1</v>
      </c>
      <c r="AE117" s="135">
        <v>1</v>
      </c>
      <c r="AF117" s="39">
        <v>12.1</v>
      </c>
    </row>
    <row r="118" spans="1:32" s="12" customFormat="1" ht="16.95" hidden="1" x14ac:dyDescent="0.3">
      <c r="A118" s="58"/>
      <c r="B118" s="13"/>
      <c r="C118" s="19">
        <f>$C$108*
(SIGN($F117)+SIGN($G117)+SIGN($H117)+SIGN($I117)
+SIGN($J117)+SIGN($K117)+SIGN($L117)+SIGN($M117)
+SIGN($N117)+SIGN($O117)+SIGN($P117)+SIGN($Q117)
+SIGN($R117)+SIGN($S117)+SIGN($T117))</f>
        <v>2</v>
      </c>
      <c r="D118" s="20">
        <f>$B117-$C118-$C$107*
(ROUNDDOWN(($F117-$C$108)/$C$107,0)+ROUNDDOWN(($G117-$C$108)/$C$107,0)
+ROUNDDOWN(($H117-$C$108)/$C$107,0)+ROUNDDOWN(($I117-$C$108)/$C$107,0)
+ROUNDDOWN(($J117-$C$108)/$C$107,0)+ROUNDDOWN(($K117-$C$108)/$C$107,0)
+ROUNDDOWN(($L117-$C$108)/$C$107,0)+ROUNDDOWN(($M117-$C$108)/$C$107,0)
+ROUNDDOWN(($N117-$C$108)/$C$107,0)+ROUNDDOWN(($O117-$C$108)/$C$107,0)
+ROUNDDOWN(($P117-$C$108)/$C$107,0)+ROUNDDOWN(($Q117-$C$108)/$C$107,0)
+ROUNDDOWN(($R117-$C$108)/$C$107,0)+ROUNDDOWN(($S117-$C$108)/$C$107,0)
+ROUNDDOWN(($T117-$C$108)/$C$107,0))</f>
        <v>1.4813727928376181</v>
      </c>
      <c r="E118" s="129">
        <f>B117</f>
        <v>221.2813727928376</v>
      </c>
      <c r="F118" s="120"/>
      <c r="G118" s="121"/>
      <c r="H118" s="121"/>
      <c r="I118" s="121"/>
      <c r="J118" s="122"/>
      <c r="K118" s="122"/>
      <c r="L118" s="122"/>
      <c r="M118" s="123"/>
      <c r="N118" s="104"/>
      <c r="O118" s="104"/>
      <c r="P118" s="104"/>
      <c r="Q118" s="104"/>
      <c r="R118" s="104"/>
      <c r="S118" s="104"/>
      <c r="T118" s="104"/>
      <c r="U118" s="104"/>
      <c r="V118" s="198"/>
      <c r="W118" s="35"/>
      <c r="X118" s="96"/>
      <c r="Y118" s="96"/>
      <c r="Z118" s="39"/>
      <c r="AA118" s="97"/>
      <c r="AB118" s="135"/>
      <c r="AC118" s="135"/>
      <c r="AD118" s="135"/>
      <c r="AE118" s="135"/>
      <c r="AF118" s="39"/>
    </row>
    <row r="119" spans="1:32" s="12" customFormat="1" ht="16.95" hidden="1" x14ac:dyDescent="0.3">
      <c r="A119" s="58"/>
      <c r="B119" s="13"/>
      <c r="C119" s="22"/>
      <c r="D119" s="22"/>
      <c r="E119" s="22">
        <f>IF(B117&gt;0,(B117/ROUNDUP(ROUNDUP(((B117-($C$108*ROUNDUP(B117/$H$108,0)))/$C$107),0)/$H$107,0)-$C$108)/$C$107,0-$C$108/$C$107)</f>
        <v>9.0612137517701488</v>
      </c>
      <c r="F119" s="120"/>
      <c r="G119" s="121"/>
      <c r="H119" s="121"/>
      <c r="I119" s="121"/>
      <c r="J119" s="122"/>
      <c r="K119" s="122"/>
      <c r="L119" s="122"/>
      <c r="M119" s="123"/>
      <c r="N119" s="104"/>
      <c r="O119" s="104"/>
      <c r="P119" s="104"/>
      <c r="Q119" s="104"/>
      <c r="R119" s="104"/>
      <c r="S119" s="104"/>
      <c r="T119" s="104"/>
      <c r="U119" s="104"/>
      <c r="V119" s="198"/>
      <c r="W119" s="35"/>
      <c r="X119" s="96"/>
      <c r="Y119" s="96"/>
      <c r="Z119" s="39"/>
      <c r="AA119" s="97"/>
      <c r="AB119" s="135"/>
      <c r="AC119" s="135"/>
      <c r="AD119" s="135"/>
      <c r="AE119" s="135"/>
      <c r="AF119" s="39"/>
    </row>
    <row r="120" spans="1:32" s="12" customFormat="1" ht="18" x14ac:dyDescent="0.35">
      <c r="A120" s="60">
        <f>Лист1!I$3</f>
        <v>8.5</v>
      </c>
      <c r="B120" s="13">
        <f>Лист1!I$16</f>
        <v>235.11145859238997</v>
      </c>
      <c r="C120" s="14">
        <f>($B120-$C$107 * (
ROUNDDOWN(($F120-$C$108)/$C$107,0) +   ROUNDDOWN(($G120-$C$108)/$C$107,0)
+ROUNDDOWN(($H120-$C$108)/$C$107,0) + ROUNDDOWN(($I120-$C$108)/$C$107,0)
+ROUNDDOWN(($J120-$C$108)/$C$107,0) +  ROUNDDOWN(($K120-$C$108)/$C$107,0)
+ROUNDDOWN(($L120-$C$108)/$C$107,0) + ROUNDDOWN(($M120-$C$108)/$C$107,0)
+ROUNDDOWN(($N120-$C$108)/$C$107,0) + ROUNDDOWN(($O120-$C$108)/$C$107,0)
+ROUNDDOWN(($P120-$C$108)/$C$107,0) + ROUNDDOWN(($Q120-$C$108)/$C$107,0)
+ROUNDDOWN(($R120-$C$108)/$C$107,0) + ROUNDDOWN(($S120-$C$108)/$C$107,0)
+ROUNDDOWN(($T120-$C$108)/$C$107,0)  )) / $B120 * 100</f>
        <v>2.216590643259547</v>
      </c>
      <c r="D120" s="15">
        <f>C120-E120</f>
        <v>0.85066036847969095</v>
      </c>
      <c r="E120" s="32">
        <f>IF(D121 &gt; $D$110,D121/$B120*100,0)</f>
        <v>1.3659302747798561</v>
      </c>
      <c r="F120" s="120">
        <v>122</v>
      </c>
      <c r="G120" s="121">
        <v>115.486328125</v>
      </c>
      <c r="H120" s="121"/>
      <c r="I120" s="121"/>
      <c r="J120" s="122"/>
      <c r="K120" s="122"/>
      <c r="L120" s="122"/>
      <c r="M120" s="123"/>
      <c r="N120" s="104"/>
      <c r="O120" s="104"/>
      <c r="P120" s="104"/>
      <c r="Q120" s="104"/>
      <c r="R120" s="104"/>
      <c r="S120" s="104"/>
      <c r="T120" s="104"/>
      <c r="U120" s="104"/>
      <c r="V120" s="39"/>
      <c r="W120" s="17">
        <f>SUM(F120:T120)</f>
        <v>237.486328125</v>
      </c>
      <c r="X120" s="96">
        <v>19</v>
      </c>
      <c r="Y120" s="96">
        <v>1</v>
      </c>
      <c r="Z120" s="39">
        <v>115.486328125</v>
      </c>
      <c r="AA120" s="97"/>
      <c r="AB120" s="135"/>
      <c r="AC120" s="135"/>
      <c r="AD120" s="135"/>
      <c r="AE120" s="135"/>
      <c r="AF120" s="39"/>
    </row>
    <row r="121" spans="1:32" s="12" customFormat="1" ht="16.95" hidden="1" x14ac:dyDescent="0.3">
      <c r="A121" s="58"/>
      <c r="B121" s="201"/>
      <c r="C121" s="19">
        <f>$C$108*
(SIGN($F120)+SIGN($G120)+SIGN($H120)+SIGN($I120)
+SIGN($J120)+SIGN($K120)+SIGN($L120)+SIGN($M120)
+SIGN($N120)+SIGN($O120)+SIGN($P120)+SIGN($Q120)
+SIGN($R120)+SIGN($S120)+SIGN($T120))</f>
        <v>2</v>
      </c>
      <c r="D121" s="20">
        <f>$B120-$C121-$C$107*
(ROUNDDOWN(($F120-$C$108)/$C$107,0)+ROUNDDOWN(($G120-$C$108)/$C$107,0)
+ROUNDDOWN(($H120-$C$108)/$C$107,0)+ROUNDDOWN(($I120-$C$108)/$C$107,0)
+ROUNDDOWN(($J120-$C$108)/$C$107,0)+ROUNDDOWN(($K120-$C$108)/$C$107,0)
+ROUNDDOWN(($L120-$C$108)/$C$107,0)+ROUNDDOWN(($M120-$C$108)/$C$107,0)
+ROUNDDOWN(($N120-$C$108)/$C$107,0)+ROUNDDOWN(($O120-$C$108)/$C$107,0)
+ROUNDDOWN(($P120-$C$108)/$C$107,0)+ROUNDDOWN(($Q120-$C$108)/$C$107,0)
+ROUNDDOWN(($R120-$C$108)/$C$107,0)+ROUNDDOWN(($S120-$C$108)/$C$107,0)
+ROUNDDOWN(($T120-$C$108)/$C$107,0))</f>
        <v>3.2114585923899597</v>
      </c>
      <c r="E121" s="129">
        <f>B120</f>
        <v>235.11145859238997</v>
      </c>
      <c r="F121" s="120"/>
      <c r="G121" s="121"/>
      <c r="H121" s="121"/>
      <c r="I121" s="121"/>
      <c r="J121" s="122"/>
      <c r="K121" s="122"/>
      <c r="L121" s="122"/>
      <c r="M121" s="123"/>
      <c r="N121" s="104"/>
      <c r="O121" s="104"/>
      <c r="P121" s="104"/>
      <c r="Q121" s="104"/>
      <c r="R121" s="104"/>
      <c r="S121" s="104"/>
      <c r="T121" s="104"/>
      <c r="U121" s="104"/>
      <c r="V121" s="198"/>
      <c r="W121" s="35"/>
      <c r="X121" s="96"/>
      <c r="Y121" s="96"/>
      <c r="Z121" s="39"/>
      <c r="AA121" s="97"/>
      <c r="AB121" s="135"/>
      <c r="AC121" s="135"/>
      <c r="AD121" s="135"/>
      <c r="AE121" s="135"/>
      <c r="AF121" s="39"/>
    </row>
    <row r="122" spans="1:32" s="12" customFormat="1" ht="16.95" hidden="1" x14ac:dyDescent="0.3">
      <c r="A122" s="58"/>
      <c r="B122" s="201"/>
      <c r="C122" s="22"/>
      <c r="D122" s="22"/>
      <c r="E122" s="22">
        <f>IF(B120&gt;0,(B120/ROUNDUP(ROUNDUP(((B120-($C$108*ROUNDUP(B120/$H$108,0)))/$C$107),0)/$H$107,0)-$C$108)/$C$107,0-$C$108/$C$107)</f>
        <v>9.6327049005119818</v>
      </c>
      <c r="F122" s="120"/>
      <c r="G122" s="121"/>
      <c r="H122" s="121"/>
      <c r="I122" s="121"/>
      <c r="J122" s="122"/>
      <c r="K122" s="122"/>
      <c r="L122" s="122"/>
      <c r="M122" s="123"/>
      <c r="N122" s="104"/>
      <c r="O122" s="104"/>
      <c r="P122" s="104"/>
      <c r="Q122" s="104"/>
      <c r="R122" s="104"/>
      <c r="S122" s="104"/>
      <c r="T122" s="104"/>
      <c r="U122" s="104"/>
      <c r="V122" s="198"/>
      <c r="W122" s="35"/>
      <c r="X122" s="96"/>
      <c r="Y122" s="96"/>
      <c r="Z122" s="39"/>
      <c r="AA122" s="97"/>
      <c r="AB122" s="135"/>
      <c r="AC122" s="135"/>
      <c r="AD122" s="135"/>
      <c r="AE122" s="135"/>
      <c r="AF122" s="39"/>
    </row>
    <row r="123" spans="1:32" s="12" customFormat="1" ht="18" x14ac:dyDescent="0.35">
      <c r="A123" s="60">
        <f>Лист1!J$3</f>
        <v>9</v>
      </c>
      <c r="B123" s="13">
        <f>Лист1!J$16</f>
        <v>248.9415443919423</v>
      </c>
      <c r="C123" s="14">
        <f>($B123-$C$107 * (
ROUNDDOWN(($F123-$C$108)/$C$107,0) +   ROUNDDOWN(($G123-$C$108)/$C$107,0)
+ROUNDDOWN(($H123-$C$108)/$C$107,0) + ROUNDDOWN(($I123-$C$108)/$C$107,0)
+ROUNDDOWN(($J123-$C$108)/$C$107,0) +  ROUNDDOWN(($K123-$C$108)/$C$107,0)
+ROUNDDOWN(($L123-$C$108)/$C$107,0) + ROUNDDOWN(($M123-$C$108)/$C$107,0)
+ROUNDDOWN(($N123-$C$108)/$C$107,0) + ROUNDDOWN(($O123-$C$108)/$C$107,0)
+ROUNDDOWN(($P123-$C$108)/$C$107,0) + ROUNDDOWN(($Q123-$C$108)/$C$107,0)
+ROUNDDOWN(($R123-$C$108)/$C$107,0) + ROUNDDOWN(($S123-$C$108)/$C$107,0)
+ROUNDDOWN(($T123-$C$108)/$C$107,0)  )) / $B123 * 100</f>
        <v>12.509581101863809</v>
      </c>
      <c r="D123" s="15">
        <f>C123-E123</f>
        <v>1.205102188679561</v>
      </c>
      <c r="E123" s="32">
        <f>IF(D124 &gt; $D$110,D124/$B123*100,0)</f>
        <v>11.304478913184248</v>
      </c>
      <c r="F123" s="78">
        <v>95</v>
      </c>
      <c r="G123" s="79">
        <v>95</v>
      </c>
      <c r="H123" s="79">
        <v>61.456100463867188</v>
      </c>
      <c r="I123" s="79"/>
      <c r="J123" s="79"/>
      <c r="K123" s="79"/>
      <c r="L123" s="79"/>
      <c r="M123" s="80"/>
      <c r="N123" s="38"/>
      <c r="O123" s="38"/>
      <c r="P123" s="38"/>
      <c r="Q123" s="38"/>
      <c r="R123" s="39"/>
      <c r="S123" s="102"/>
      <c r="T123" s="102"/>
      <c r="U123" s="102"/>
      <c r="V123" s="39" t="s">
        <v>71</v>
      </c>
      <c r="W123" s="17">
        <f>SUM(F123:T123)</f>
        <v>251.45610046386719</v>
      </c>
      <c r="X123" s="135">
        <v>20</v>
      </c>
      <c r="Y123" s="135">
        <v>2</v>
      </c>
      <c r="Z123" s="39">
        <v>7.4561004638671875</v>
      </c>
      <c r="AA123" s="39">
        <v>87.543899536132813</v>
      </c>
      <c r="AB123" s="135">
        <v>8</v>
      </c>
      <c r="AC123" s="135">
        <v>2</v>
      </c>
      <c r="AD123" s="135">
        <v>4</v>
      </c>
      <c r="AE123" s="135">
        <v>2</v>
      </c>
      <c r="AF123" s="39"/>
    </row>
    <row r="124" spans="1:32" s="12" customFormat="1" ht="16.95" hidden="1" x14ac:dyDescent="0.3">
      <c r="A124" s="59"/>
      <c r="B124" s="18"/>
      <c r="C124" s="19">
        <f>$C$108*
(SIGN($F123)+SIGN($G123)+SIGN($H123)+SIGN($I123)
+SIGN($J123)+SIGN($K123)+SIGN($L123)+SIGN($M123)
+SIGN($N123)+SIGN($O123)+SIGN($P123)+SIGN($Q123)
+SIGN($R123)+SIGN($S123)+SIGN($T123))</f>
        <v>3</v>
      </c>
      <c r="D124" s="20">
        <f>$B123-$C124-$C$107*
(ROUNDDOWN(($F123-$C$108)/$C$107,0)+ROUNDDOWN(($G123-$C$108)/$C$107,0)
+ROUNDDOWN(($H123-$C$108)/$C$107,0)+ROUNDDOWN(($I123-$C$108)/$C$107,0)
+ROUNDDOWN(($J123-$C$108)/$C$107,0)+ROUNDDOWN(($K123-$C$108)/$C$107,0)
+ROUNDDOWN(($L123-$C$108)/$C$107,0)+ROUNDDOWN(($M123-$C$108)/$C$107,0)
+ROUNDDOWN(($N123-$C$108)/$C$107,0)+ROUNDDOWN(($O123-$C$108)/$C$107,0)
+ROUNDDOWN(($P123-$C$108)/$C$107,0)+ROUNDDOWN(($Q123-$C$108)/$C$107,0)
+ROUNDDOWN(($R123-$C$108)/$C$107,0)+ROUNDDOWN(($S123-$C$108)/$C$107,0)
+ROUNDDOWN(($T123-$C$108)/$C$107,0))</f>
        <v>28.141544391942318</v>
      </c>
      <c r="E124" s="129">
        <f>B123</f>
        <v>248.9415443919423</v>
      </c>
      <c r="F124" s="116"/>
      <c r="G124" s="116"/>
      <c r="H124" s="116"/>
      <c r="I124" s="116"/>
      <c r="J124" s="116"/>
      <c r="K124" s="116"/>
      <c r="L124" s="116"/>
      <c r="M124" s="117"/>
      <c r="N124" s="42"/>
      <c r="O124" s="43"/>
      <c r="P124" s="21"/>
      <c r="Q124" s="21"/>
      <c r="R124" s="42"/>
      <c r="S124" s="21"/>
      <c r="T124" s="21"/>
      <c r="U124" s="21"/>
      <c r="V124" s="39"/>
      <c r="W124" s="17"/>
      <c r="X124" s="135"/>
      <c r="Y124" s="135"/>
      <c r="Z124" s="39"/>
      <c r="AA124" s="39"/>
      <c r="AB124" s="135"/>
      <c r="AC124" s="135"/>
      <c r="AD124" s="135"/>
      <c r="AE124" s="135"/>
      <c r="AF124" s="39"/>
    </row>
    <row r="125" spans="1:32" s="12" customFormat="1" ht="16.95" hidden="1" x14ac:dyDescent="0.3">
      <c r="A125" s="59"/>
      <c r="B125" s="13"/>
      <c r="C125" s="22"/>
      <c r="D125" s="22"/>
      <c r="E125" s="22">
        <f>IF(B123&gt;0,(B123/ROUNDUP(ROUNDUP(((B123-($C$108*ROUNDUP(B123/$H$108,0)))/$C$107),0)/$H$107,0)-$C$108)/$C$107,0-$C$108/$C$107)</f>
        <v>6.7752491568028184</v>
      </c>
      <c r="F125" s="110"/>
      <c r="G125" s="111"/>
      <c r="H125" s="111"/>
      <c r="I125" s="111"/>
      <c r="J125" s="111"/>
      <c r="K125" s="111"/>
      <c r="L125" s="112"/>
      <c r="M125" s="124"/>
      <c r="P125" s="38"/>
      <c r="Q125" s="38"/>
      <c r="R125" s="39"/>
      <c r="S125" s="102"/>
      <c r="T125" s="102"/>
      <c r="U125" s="102"/>
      <c r="V125" s="39"/>
      <c r="W125" s="17"/>
      <c r="X125" s="135"/>
      <c r="Y125" s="135"/>
      <c r="Z125" s="39"/>
      <c r="AA125" s="39"/>
      <c r="AB125" s="135"/>
      <c r="AC125" s="135"/>
      <c r="AD125" s="135"/>
      <c r="AE125" s="135"/>
      <c r="AF125" s="39"/>
    </row>
    <row r="126" spans="1:32" s="12" customFormat="1" ht="18" x14ac:dyDescent="0.35">
      <c r="A126" s="60">
        <f>Лист1!K$3</f>
        <v>9.5</v>
      </c>
      <c r="B126" s="13">
        <f>Лист1!K$16</f>
        <v>262.77163019149464</v>
      </c>
      <c r="C126" s="14">
        <f>($B126-$C$107 * (
ROUNDDOWN(($F126-$C$108)/$C$107,0) +   ROUNDDOWN(($G126-$C$108)/$C$107,0)
+ROUNDDOWN(($H126-$C$108)/$C$107,0) + ROUNDDOWN(($I126-$C$108)/$C$107,0)
+ROUNDDOWN(($J126-$C$108)/$C$107,0) +  ROUNDDOWN(($K126-$C$108)/$C$107,0)
+ROUNDDOWN(($L126-$C$108)/$C$107,0) + ROUNDDOWN(($M126-$C$108)/$C$107,0)
+ROUNDDOWN(($N126-$C$108)/$C$107,0) + ROUNDDOWN(($O126-$C$108)/$C$107,0)
+ROUNDDOWN(($P126-$C$108)/$C$107,0) + ROUNDDOWN(($Q126-$C$108)/$C$107,0)
+ROUNDDOWN(($R126-$C$108)/$C$107,0) + ROUNDDOWN(($S126-$C$108)/$C$107,0)
+ROUNDDOWN(($T126-$C$108)/$C$107,0)  )) / $B126 * 100</f>
        <v>7.9048222124882077</v>
      </c>
      <c r="D126" s="15">
        <f>C126-E126</f>
        <v>1.1416757576964276</v>
      </c>
      <c r="E126" s="32">
        <f>IF(D127 &gt; $D$110,D127/$B126*100,0)</f>
        <v>6.7631464547917801</v>
      </c>
      <c r="F126" s="78">
        <v>95</v>
      </c>
      <c r="G126" s="79">
        <v>95</v>
      </c>
      <c r="H126" s="79">
        <v>75.4259033203125</v>
      </c>
      <c r="I126" s="79"/>
      <c r="J126" s="79"/>
      <c r="K126" s="79"/>
      <c r="L126" s="79"/>
      <c r="M126" s="80"/>
      <c r="N126" s="38"/>
      <c r="O126" s="38"/>
      <c r="P126" s="38"/>
      <c r="Q126" s="38"/>
      <c r="R126" s="39"/>
      <c r="S126" s="102"/>
      <c r="T126" s="102"/>
      <c r="U126" s="102"/>
      <c r="V126" s="39" t="s">
        <v>71</v>
      </c>
      <c r="W126" s="17">
        <f>SUM(F126:T126)</f>
        <v>265.4259033203125</v>
      </c>
      <c r="X126" s="135">
        <v>21</v>
      </c>
      <c r="Y126" s="135">
        <v>2</v>
      </c>
      <c r="Z126" s="39">
        <v>21.4259033203125</v>
      </c>
      <c r="AA126" s="39">
        <v>73.5740966796875</v>
      </c>
      <c r="AB126" s="135">
        <v>7</v>
      </c>
      <c r="AC126" s="135">
        <v>2</v>
      </c>
      <c r="AD126" s="135">
        <v>4</v>
      </c>
      <c r="AE126" s="135">
        <v>2</v>
      </c>
      <c r="AF126" s="39"/>
    </row>
    <row r="127" spans="1:32" s="12" customFormat="1" ht="16.95" hidden="1" x14ac:dyDescent="0.3">
      <c r="A127" s="59"/>
      <c r="B127" s="13"/>
      <c r="C127" s="19">
        <f>$C$108*
(SIGN($F126)+SIGN($G126)+SIGN($H126)+SIGN($I126)
+SIGN($J126)+SIGN($K126)+SIGN($L126)+SIGN($M126)
+SIGN($N126)+SIGN($O126)+SIGN($P126)+SIGN($Q126)
+SIGN($R126)+SIGN($S126)+SIGN($T126))</f>
        <v>3</v>
      </c>
      <c r="D127" s="20">
        <f>$B126-$C127-$C$107*
(ROUNDDOWN(($F126-$C$108)/$C$107,0)+ROUNDDOWN(($G126-$C$108)/$C$107,0)
+ROUNDDOWN(($H126-$C$108)/$C$107,0)+ROUNDDOWN(($I126-$C$108)/$C$107,0)
+ROUNDDOWN(($J126-$C$108)/$C$107,0)+ROUNDDOWN(($K126-$C$108)/$C$107,0)
+ROUNDDOWN(($L126-$C$108)/$C$107,0)+ROUNDDOWN(($M126-$C$108)/$C$107,0)
+ROUNDDOWN(($N126-$C$108)/$C$107,0)+ROUNDDOWN(($O126-$C$108)/$C$107,0)
+ROUNDDOWN(($P126-$C$108)/$C$107,0)+ROUNDDOWN(($Q126-$C$108)/$C$107,0)
+ROUNDDOWN(($R126-$C$108)/$C$107,0)+ROUNDDOWN(($S126-$C$108)/$C$107,0)
+ROUNDDOWN(($T126-$C$108)/$C$107,0))</f>
        <v>17.771630191494637</v>
      </c>
      <c r="E127" s="129">
        <f>B126</f>
        <v>262.77163019149464</v>
      </c>
      <c r="F127" s="116"/>
      <c r="G127" s="116"/>
      <c r="H127" s="116"/>
      <c r="I127" s="116"/>
      <c r="J127" s="116"/>
      <c r="K127" s="116"/>
      <c r="L127" s="116"/>
      <c r="M127" s="117"/>
      <c r="N127" s="42"/>
      <c r="O127" s="43"/>
      <c r="P127" s="21"/>
      <c r="Q127" s="21"/>
      <c r="R127" s="42"/>
      <c r="S127" s="21"/>
      <c r="T127" s="21"/>
      <c r="U127" s="21"/>
      <c r="V127" s="39"/>
      <c r="W127" s="17"/>
      <c r="X127" s="135"/>
      <c r="Y127" s="135"/>
      <c r="Z127" s="39"/>
      <c r="AA127" s="39"/>
      <c r="AB127" s="135"/>
      <c r="AC127" s="135"/>
      <c r="AD127" s="135"/>
      <c r="AE127" s="135"/>
      <c r="AF127" s="39"/>
    </row>
    <row r="128" spans="1:32" s="12" customFormat="1" ht="16.95" hidden="1" x14ac:dyDescent="0.3">
      <c r="A128" s="59"/>
      <c r="B128" s="13"/>
      <c r="C128" s="22"/>
      <c r="D128" s="22"/>
      <c r="E128" s="22">
        <f>IF(B126&gt;0,(B126/ROUNDUP(ROUNDUP(((B126-($C$108*ROUNDUP(B126/$H$108,0)))/$C$107),0)/$H$107,0)-$C$108)/$C$107,0-$C$108/$C$107)</f>
        <v>7.1562432559640401</v>
      </c>
      <c r="F128" s="110"/>
      <c r="G128" s="111"/>
      <c r="H128" s="111"/>
      <c r="I128" s="111"/>
      <c r="J128" s="111"/>
      <c r="K128" s="111"/>
      <c r="L128" s="112"/>
      <c r="M128" s="124"/>
      <c r="P128" s="38"/>
      <c r="Q128" s="38"/>
      <c r="R128" s="39"/>
      <c r="S128" s="102"/>
      <c r="T128" s="102"/>
      <c r="U128" s="102"/>
      <c r="V128" s="39"/>
      <c r="W128" s="17"/>
      <c r="X128" s="135"/>
      <c r="Y128" s="135"/>
      <c r="Z128" s="39"/>
      <c r="AA128" s="39"/>
      <c r="AB128" s="135"/>
      <c r="AC128" s="135"/>
      <c r="AD128" s="135"/>
      <c r="AE128" s="135"/>
      <c r="AF128" s="39"/>
    </row>
    <row r="129" spans="1:32" s="12" customFormat="1" ht="18" x14ac:dyDescent="0.35">
      <c r="A129" s="60">
        <f>Лист1!L$3</f>
        <v>10</v>
      </c>
      <c r="B129" s="13">
        <f>Лист1!L$16</f>
        <v>276.601715991047</v>
      </c>
      <c r="C129" s="14">
        <f>($B129-$C$107 * (
ROUNDDOWN(($F129-$C$108)/$C$107,0) +   ROUNDDOWN(($G129-$C$108)/$C$107,0)
+ROUNDDOWN(($H129-$C$108)/$C$107,0) + ROUNDDOWN(($I129-$C$108)/$C$107,0)
+ROUNDDOWN(($J129-$C$108)/$C$107,0) +  ROUNDDOWN(($K129-$C$108)/$C$107,0)
+ROUNDDOWN(($L129-$C$108)/$C$107,0) + ROUNDDOWN(($M129-$C$108)/$C$107,0)
+ROUNDDOWN(($N129-$C$108)/$C$107,0) + ROUNDDOWN(($O129-$C$108)/$C$107,0)
+ROUNDDOWN(($P129-$C$108)/$C$107,0) + ROUNDDOWN(($Q129-$C$108)/$C$107,0)
+ROUNDDOWN(($R129-$C$108)/$C$107,0) + ROUNDDOWN(($S129-$C$108)/$C$107,0)
+ROUNDDOWN(($T129-$C$108)/$C$107,0)  )) / $B129 * 100</f>
        <v>8.1350601569569942</v>
      </c>
      <c r="D129" s="15">
        <f>C129-E129</f>
        <v>1.0845919698116058</v>
      </c>
      <c r="E129" s="32">
        <f>IF(D130 &gt; $D$110,D130/$B129*100,0)</f>
        <v>7.0504681871453885</v>
      </c>
      <c r="F129" s="78">
        <v>95</v>
      </c>
      <c r="G129" s="79">
        <v>95</v>
      </c>
      <c r="H129" s="79">
        <v>89.395660400390625</v>
      </c>
      <c r="I129" s="79"/>
      <c r="J129" s="79"/>
      <c r="K129" s="79"/>
      <c r="L129" s="79"/>
      <c r="M129" s="80"/>
      <c r="N129" s="38"/>
      <c r="O129" s="38"/>
      <c r="P129" s="38"/>
      <c r="Q129" s="38"/>
      <c r="R129" s="39"/>
      <c r="S129" s="102"/>
      <c r="T129" s="102"/>
      <c r="U129" s="102"/>
      <c r="V129" s="39" t="s">
        <v>71</v>
      </c>
      <c r="W129" s="17">
        <f>SUM(F129:T129)</f>
        <v>279.39566040039063</v>
      </c>
      <c r="X129" s="135">
        <v>23</v>
      </c>
      <c r="Y129" s="135">
        <v>2</v>
      </c>
      <c r="Z129" s="39">
        <v>35.395660400390625</v>
      </c>
      <c r="AA129" s="39">
        <v>59.604339599609375</v>
      </c>
      <c r="AB129" s="135">
        <v>5</v>
      </c>
      <c r="AC129" s="135">
        <v>2</v>
      </c>
      <c r="AD129" s="135">
        <v>3</v>
      </c>
      <c r="AE129" s="135">
        <v>2</v>
      </c>
      <c r="AF129" s="39"/>
    </row>
    <row r="130" spans="1:32" s="12" customFormat="1" ht="18.899999999999999" hidden="1" x14ac:dyDescent="0.35">
      <c r="A130" s="60"/>
      <c r="B130" s="13"/>
      <c r="C130" s="19">
        <f>$C$108*
(SIGN($F129)+SIGN($G129)+SIGN($H129)+SIGN($I129)
+SIGN($J129)+SIGN($K129)+SIGN($L129)+SIGN($M129)
+SIGN($N129)+SIGN($O129)+SIGN($P129)+SIGN($Q129)
+SIGN($R129)+SIGN($S129)+SIGN($T129))</f>
        <v>3</v>
      </c>
      <c r="D130" s="20">
        <f>$B129-$C130-$C$107*
(ROUNDDOWN(($F129-$C$108)/$C$107,0)+ROUNDDOWN(($G129-$C$108)/$C$107,0)
+ROUNDDOWN(($H129-$C$108)/$C$107,0)+ROUNDDOWN(($I129-$C$108)/$C$107,0)
+ROUNDDOWN(($J129-$C$108)/$C$107,0)+ROUNDDOWN(($K129-$C$108)/$C$107,0)
+ROUNDDOWN(($L129-$C$108)/$C$107,0)+ROUNDDOWN(($M129-$C$108)/$C$107,0)
+ROUNDDOWN(($N129-$C$108)/$C$107,0)+ROUNDDOWN(($O129-$C$108)/$C$107,0)
+ROUNDDOWN(($P129-$C$108)/$C$107,0)+ROUNDDOWN(($Q129-$C$108)/$C$107,0)
+ROUNDDOWN(($R129-$C$108)/$C$107,0)+ROUNDDOWN(($S129-$C$108)/$C$107,0)
+ROUNDDOWN(($T129-$C$108)/$C$107,0))</f>
        <v>19.501715991047007</v>
      </c>
      <c r="E130" s="129">
        <f>B129</f>
        <v>276.601715991047</v>
      </c>
      <c r="F130" s="116"/>
      <c r="G130" s="116"/>
      <c r="H130" s="116"/>
      <c r="I130" s="116"/>
      <c r="J130" s="116"/>
      <c r="K130" s="116"/>
      <c r="L130" s="116"/>
      <c r="M130" s="117"/>
      <c r="N130" s="42"/>
      <c r="O130" s="43"/>
      <c r="P130" s="21"/>
      <c r="Q130" s="21"/>
      <c r="R130" s="42"/>
      <c r="S130" s="21"/>
      <c r="T130" s="21"/>
      <c r="U130" s="21"/>
      <c r="V130" s="39"/>
      <c r="W130" s="17"/>
      <c r="X130" s="135"/>
      <c r="Y130" s="135"/>
      <c r="Z130" s="39"/>
      <c r="AA130" s="39"/>
      <c r="AB130" s="135"/>
      <c r="AC130" s="135"/>
      <c r="AD130" s="135"/>
      <c r="AE130" s="135"/>
      <c r="AF130" s="39"/>
    </row>
    <row r="131" spans="1:32" s="12" customFormat="1" ht="18.899999999999999" hidden="1" x14ac:dyDescent="0.35">
      <c r="A131" s="60"/>
      <c r="B131" s="13"/>
      <c r="C131" s="22"/>
      <c r="D131" s="22"/>
      <c r="E131" s="22">
        <f>IF(B129&gt;0,(B129/ROUNDUP(ROUNDUP(((B129-($C$108*ROUNDUP(B129/$H$108,0)))/$C$107),0)/$H$107,0)-$C$108)/$C$107,0-$C$108/$C$107)</f>
        <v>7.5372373551252627</v>
      </c>
      <c r="F131" s="110"/>
      <c r="G131" s="111"/>
      <c r="H131" s="111"/>
      <c r="I131" s="111"/>
      <c r="J131" s="111"/>
      <c r="K131" s="111"/>
      <c r="L131" s="112"/>
      <c r="M131" s="124"/>
      <c r="P131" s="38"/>
      <c r="Q131" s="38"/>
      <c r="R131" s="39"/>
      <c r="S131" s="102"/>
      <c r="T131" s="102"/>
      <c r="U131" s="102"/>
      <c r="V131" s="39"/>
      <c r="W131" s="17"/>
      <c r="X131" s="135"/>
      <c r="Y131" s="135"/>
      <c r="Z131" s="39"/>
      <c r="AA131" s="39"/>
      <c r="AB131" s="135"/>
      <c r="AC131" s="135"/>
      <c r="AD131" s="135"/>
      <c r="AE131" s="135"/>
      <c r="AF131" s="39"/>
    </row>
    <row r="132" spans="1:32" s="12" customFormat="1" ht="18" x14ac:dyDescent="0.35">
      <c r="A132" s="60">
        <f>Лист1!M$3</f>
        <v>10.5</v>
      </c>
      <c r="B132" s="13">
        <f>Лист1!M$16</f>
        <v>290.43180179059937</v>
      </c>
      <c r="C132" s="14">
        <f>($B132-$C$107 * (
ROUNDDOWN(($F132-$C$108)/$C$107,0) +   ROUNDDOWN(($G132-$C$108)/$C$107,0)
+ROUNDDOWN(($H132-$C$108)/$C$107,0) + ROUNDDOWN(($I132-$C$108)/$C$107,0)
+ROUNDDOWN(($J132-$C$108)/$C$107,0) +  ROUNDDOWN(($K132-$C$108)/$C$107,0)
+ROUNDDOWN(($L132-$C$108)/$C$107,0) + ROUNDDOWN(($M132-$C$108)/$C$107,0)
+ROUNDDOWN(($N132-$C$108)/$C$107,0) + ROUNDDOWN(($O132-$C$108)/$C$107,0)
+ROUNDDOWN(($P132-$C$108)/$C$107,0) + ROUNDDOWN(($Q132-$C$108)/$C$107,0)
+ROUNDDOWN(($R132-$C$108)/$C$107,0) + ROUNDDOWN(($S132-$C$108)/$C$107,0)
+ROUNDDOWN(($T132-$C$108)/$C$107,0)  )) / $B132 * 100</f>
        <v>12.509581101863809</v>
      </c>
      <c r="D132" s="15">
        <f>C132-E132</f>
        <v>1.0329447331539097</v>
      </c>
      <c r="E132" s="32">
        <f>IF(D133 &gt; $D$110,D133/$B132*100,0)</f>
        <v>11.476636368709899</v>
      </c>
      <c r="F132" s="78">
        <v>97.788482666015625</v>
      </c>
      <c r="G132" s="79">
        <v>97.788482666015625</v>
      </c>
      <c r="H132" s="79">
        <v>97.788482666015625</v>
      </c>
      <c r="I132" s="79"/>
      <c r="J132" s="79"/>
      <c r="K132" s="79"/>
      <c r="L132" s="79"/>
      <c r="M132" s="80"/>
      <c r="N132" s="38"/>
      <c r="O132" s="38"/>
      <c r="P132" s="38"/>
      <c r="Q132" s="38"/>
      <c r="R132" s="39"/>
      <c r="S132" s="102"/>
      <c r="T132" s="102"/>
      <c r="U132" s="102"/>
      <c r="V132" s="39" t="s">
        <v>70</v>
      </c>
      <c r="W132" s="17">
        <f>SUM(F132:T132)</f>
        <v>293.36544799804688</v>
      </c>
      <c r="X132" s="135">
        <v>24</v>
      </c>
      <c r="Y132" s="135">
        <v>2</v>
      </c>
      <c r="Z132" s="39">
        <v>49.365447998046875</v>
      </c>
      <c r="AA132" s="39">
        <v>45.634552001953125</v>
      </c>
      <c r="AB132" s="135">
        <v>4</v>
      </c>
      <c r="AC132" s="135">
        <v>2</v>
      </c>
      <c r="AD132" s="135">
        <v>3</v>
      </c>
      <c r="AE132" s="135">
        <v>2</v>
      </c>
      <c r="AF132" s="39">
        <v>12.1</v>
      </c>
    </row>
    <row r="133" spans="1:32" s="12" customFormat="1" ht="18.899999999999999" hidden="1" x14ac:dyDescent="0.35">
      <c r="A133" s="60"/>
      <c r="B133" s="13"/>
      <c r="C133" s="19">
        <f>$C$108*
(SIGN($F132)+SIGN($G132)+SIGN($H132)+SIGN($I132)
+SIGN($J132)+SIGN($K132)+SIGN($L132)+SIGN($M132)
+SIGN($N132)+SIGN($O132)+SIGN($P132)+SIGN($Q132)
+SIGN($R132)+SIGN($S132)+SIGN($T132))</f>
        <v>3</v>
      </c>
      <c r="D133" s="20">
        <f>$B132-$C133-$C$107*
(ROUNDDOWN(($F132-$C$108)/$C$107,0)+ROUNDDOWN(($G132-$C$108)/$C$107,0)
+ROUNDDOWN(($H132-$C$108)/$C$107,0)+ROUNDDOWN(($I132-$C$108)/$C$107,0)
+ROUNDDOWN(($J132-$C$108)/$C$107,0)+ROUNDDOWN(($K132-$C$108)/$C$107,0)
+ROUNDDOWN(($L132-$C$108)/$C$107,0)+ROUNDDOWN(($M132-$C$108)/$C$107,0)
+ROUNDDOWN(($N132-$C$108)/$C$107,0)+ROUNDDOWN(($O132-$C$108)/$C$107,0)
+ROUNDDOWN(($P132-$C$108)/$C$107,0)+ROUNDDOWN(($Q132-$C$108)/$C$107,0)
+ROUNDDOWN(($R132-$C$108)/$C$107,0)+ROUNDDOWN(($S132-$C$108)/$C$107,0)
+ROUNDDOWN(($T132-$C$108)/$C$107,0))</f>
        <v>33.331801790599371</v>
      </c>
      <c r="E133" s="129">
        <f>B132</f>
        <v>290.43180179059937</v>
      </c>
      <c r="F133" s="116"/>
      <c r="G133" s="116"/>
      <c r="H133" s="116"/>
      <c r="I133" s="116"/>
      <c r="J133" s="116"/>
      <c r="K133" s="116"/>
      <c r="L133" s="116"/>
      <c r="M133" s="106"/>
      <c r="N133" s="42"/>
      <c r="O133" s="43"/>
      <c r="P133" s="21"/>
      <c r="Q133" s="21"/>
      <c r="R133" s="42"/>
      <c r="S133" s="21"/>
      <c r="T133" s="21"/>
      <c r="U133" s="21"/>
      <c r="V133" s="39"/>
      <c r="W133" s="17"/>
      <c r="X133" s="135"/>
      <c r="Y133" s="135"/>
      <c r="Z133" s="39"/>
      <c r="AA133" s="39"/>
      <c r="AB133" s="135"/>
      <c r="AC133" s="135"/>
      <c r="AD133" s="135"/>
      <c r="AE133" s="135"/>
      <c r="AF133" s="39"/>
    </row>
    <row r="134" spans="1:32" s="12" customFormat="1" ht="18.899999999999999" hidden="1" x14ac:dyDescent="0.35">
      <c r="A134" s="60"/>
      <c r="B134" s="13"/>
      <c r="C134" s="22"/>
      <c r="D134" s="22"/>
      <c r="E134" s="22">
        <f>IF(B132&gt;0,(B132/ROUNDUP(ROUNDUP(((B132-($C$108*ROUNDUP(B132/$H$108,0)))/$C$107),0)/$H$107,0)-$C$108)/$C$107,0-$C$108/$C$107)</f>
        <v>7.9182314542864836</v>
      </c>
      <c r="F134" s="110"/>
      <c r="G134" s="111"/>
      <c r="H134" s="111"/>
      <c r="I134" s="111"/>
      <c r="J134" s="111"/>
      <c r="K134" s="111"/>
      <c r="L134" s="111"/>
      <c r="M134" s="125"/>
      <c r="P134" s="38"/>
      <c r="Q134" s="38"/>
      <c r="R134" s="39"/>
      <c r="S134" s="102"/>
      <c r="T134" s="102"/>
      <c r="U134" s="102"/>
      <c r="V134" s="39"/>
      <c r="W134" s="17"/>
      <c r="X134" s="135"/>
      <c r="Y134" s="135"/>
      <c r="Z134" s="39"/>
      <c r="AA134" s="39"/>
      <c r="AB134" s="135"/>
      <c r="AC134" s="135"/>
      <c r="AD134" s="135"/>
      <c r="AE134" s="135"/>
      <c r="AF134" s="39"/>
    </row>
    <row r="135" spans="1:32" s="12" customFormat="1" ht="18" x14ac:dyDescent="0.35">
      <c r="A135" s="60">
        <f>Лист1!N$3</f>
        <v>11</v>
      </c>
      <c r="B135" s="13">
        <f>Лист1!N$16</f>
        <v>304.26188759015167</v>
      </c>
      <c r="C135" s="14">
        <f>($B135-$C$107 * (
ROUNDDOWN(($F135-$C$108)/$C$107,0) +   ROUNDDOWN(($G135-$C$108)/$C$107,0)
+ROUNDDOWN(($H135-$C$108)/$C$107,0) + ROUNDDOWN(($I135-$C$108)/$C$107,0)
+ROUNDDOWN(($J135-$C$108)/$C$107,0) +  ROUNDDOWN(($K135-$C$108)/$C$107,0)
+ROUNDDOWN(($L135-$C$108)/$C$107,0) + ROUNDDOWN(($M135-$C$108)/$C$107,0)
+ROUNDDOWN(($N135-$C$108)/$C$107,0) + ROUNDDOWN(($O135-$C$108)/$C$107,0)
+ROUNDDOWN(($P135-$C$108)/$C$107,0) + ROUNDDOWN(($Q135-$C$108)/$C$107,0)
+ROUNDDOWN(($R135-$C$108)/$C$107,0) + ROUNDDOWN(($S135-$C$108)/$C$107,0)
+ROUNDDOWN(($T135-$C$108)/$C$107,0)  )) / $B135 * 100</f>
        <v>0.5790694339361292</v>
      </c>
      <c r="D135" s="15">
        <f>C135-E135</f>
        <v>0.5790694339361292</v>
      </c>
      <c r="E135" s="32">
        <f>IF(D136 &gt; $D$110,D136/$B135*100,0)</f>
        <v>0</v>
      </c>
      <c r="F135" s="78">
        <v>97.8</v>
      </c>
      <c r="G135" s="79">
        <v>97.8</v>
      </c>
      <c r="H135" s="79">
        <v>111.73523559570313</v>
      </c>
      <c r="I135" s="79"/>
      <c r="J135" s="79"/>
      <c r="K135" s="79"/>
      <c r="L135" s="79"/>
      <c r="M135" s="80"/>
      <c r="N135" s="38"/>
      <c r="O135" s="38"/>
      <c r="P135" s="38"/>
      <c r="Q135" s="38"/>
      <c r="R135" s="39"/>
      <c r="S135" s="102"/>
      <c r="T135" s="102"/>
      <c r="U135" s="102"/>
      <c r="V135" s="39"/>
      <c r="W135" s="17">
        <f>SUM(F135:T135)</f>
        <v>307.33523559570313</v>
      </c>
      <c r="X135" s="135">
        <v>25</v>
      </c>
      <c r="Y135" s="135">
        <v>2</v>
      </c>
      <c r="Z135" s="39">
        <v>63.335235595703125</v>
      </c>
      <c r="AA135" s="39">
        <v>31.664764404296875</v>
      </c>
      <c r="AB135" s="135">
        <v>3</v>
      </c>
      <c r="AC135" s="135">
        <v>2</v>
      </c>
      <c r="AD135" s="135">
        <v>2</v>
      </c>
      <c r="AE135" s="135">
        <v>2</v>
      </c>
      <c r="AF135" s="39">
        <v>12.1</v>
      </c>
    </row>
    <row r="136" spans="1:32" s="12" customFormat="1" ht="18.899999999999999" hidden="1" x14ac:dyDescent="0.35">
      <c r="A136" s="60"/>
      <c r="B136" s="13"/>
      <c r="C136" s="19">
        <f>$C$108*
(SIGN($F135)+SIGN($G135)+SIGN($H135)+SIGN($I135)
+SIGN($J135)+SIGN($K135)+SIGN($L135)+SIGN($M135)
+SIGN($N135)+SIGN($O135)+SIGN($P135)+SIGN($Q135)
+SIGN($R135)+SIGN($S135)+SIGN($T135))</f>
        <v>3</v>
      </c>
      <c r="D136" s="20">
        <f>$B135-$C136-$C$107*
(ROUNDDOWN(($F135-$C$108)/$C$107,0)+ROUNDDOWN(($G135-$C$108)/$C$107,0)
+ROUNDDOWN(($H135-$C$108)/$C$107,0)+ROUNDDOWN(($I135-$C$108)/$C$107,0)
+ROUNDDOWN(($J135-$C$108)/$C$107,0)+ROUNDDOWN(($K135-$C$108)/$C$107,0)
+ROUNDDOWN(($L135-$C$108)/$C$107,0)+ROUNDDOWN(($M135-$C$108)/$C$107,0)
+ROUNDDOWN(($N135-$C$108)/$C$107,0)+ROUNDDOWN(($O135-$C$108)/$C$107,0)
+ROUNDDOWN(($P135-$C$108)/$C$107,0)+ROUNDDOWN(($Q135-$C$108)/$C$107,0)
+ROUNDDOWN(($R135-$C$108)/$C$107,0)+ROUNDDOWN(($S135-$C$108)/$C$107,0)
+ROUNDDOWN(($T135-$C$108)/$C$107,0))</f>
        <v>-1.2381124098483269</v>
      </c>
      <c r="E136" s="129">
        <f>B135</f>
        <v>304.26188759015167</v>
      </c>
      <c r="F136" s="116"/>
      <c r="G136" s="116"/>
      <c r="H136" s="116"/>
      <c r="I136" s="116"/>
      <c r="J136" s="116"/>
      <c r="K136" s="116"/>
      <c r="L136" s="116"/>
      <c r="M136" s="106"/>
      <c r="N136" s="42"/>
      <c r="O136" s="43"/>
      <c r="P136" s="21"/>
      <c r="Q136" s="21"/>
      <c r="R136" s="42"/>
      <c r="S136" s="21"/>
      <c r="T136" s="21"/>
      <c r="U136" s="21"/>
      <c r="V136" s="39"/>
      <c r="W136" s="17"/>
      <c r="X136" s="135"/>
      <c r="Y136" s="135"/>
      <c r="Z136" s="39"/>
      <c r="AA136" s="39"/>
      <c r="AB136" s="135"/>
      <c r="AC136" s="135"/>
      <c r="AD136" s="135"/>
      <c r="AE136" s="135"/>
      <c r="AF136" s="39"/>
    </row>
    <row r="137" spans="1:32" s="12" customFormat="1" ht="18.899999999999999" hidden="1" x14ac:dyDescent="0.35">
      <c r="A137" s="60"/>
      <c r="B137" s="13"/>
      <c r="C137" s="22"/>
      <c r="D137" s="22"/>
      <c r="E137" s="22">
        <f>IF(B135&gt;0,(B135/ROUNDUP(ROUNDUP(((B135-($C$108*ROUNDUP(B135/$H$108,0)))/$C$107),0)/$H$107,0)-$C$108)/$C$107,0-$C$108/$C$107)</f>
        <v>8.2992255534477053</v>
      </c>
      <c r="F137" s="110"/>
      <c r="G137" s="111"/>
      <c r="H137" s="111"/>
      <c r="I137" s="111"/>
      <c r="J137" s="111"/>
      <c r="K137" s="111"/>
      <c r="L137" s="111"/>
      <c r="M137" s="125"/>
      <c r="P137" s="38"/>
      <c r="Q137" s="38"/>
      <c r="R137" s="39"/>
      <c r="S137" s="102"/>
      <c r="T137" s="102"/>
      <c r="U137" s="102"/>
      <c r="V137" s="39"/>
      <c r="W137" s="17"/>
      <c r="X137" s="135"/>
      <c r="Y137" s="135"/>
      <c r="Z137" s="39"/>
      <c r="AA137" s="39"/>
      <c r="AB137" s="135"/>
      <c r="AC137" s="135"/>
      <c r="AD137" s="135"/>
      <c r="AE137" s="135"/>
      <c r="AF137" s="39"/>
    </row>
    <row r="138" spans="1:32" s="12" customFormat="1" ht="18" x14ac:dyDescent="0.35">
      <c r="A138" s="60">
        <f>Лист1!O$3</f>
        <v>11.2</v>
      </c>
      <c r="B138" s="13">
        <f>Лист1!O$16</f>
        <v>309.7939219099726</v>
      </c>
      <c r="C138" s="14">
        <f>($B138-$C$107 * (
ROUNDDOWN(($F138-$C$108)/$C$107,0) +   ROUNDDOWN(($G138-$C$108)/$C$107,0)
+ROUNDDOWN(($H138-$C$108)/$C$107,0) + ROUNDDOWN(($I138-$C$108)/$C$107,0)
+ROUNDDOWN(($J138-$C$108)/$C$107,0) +  ROUNDDOWN(($K138-$C$108)/$C$107,0)
+ROUNDDOWN(($L138-$C$108)/$C$107,0) + ROUNDDOWN(($M138-$C$108)/$C$107,0)
+ROUNDDOWN(($N138-$C$108)/$C$107,0) + ROUNDDOWN(($O138-$C$108)/$C$107,0)
+ROUNDDOWN(($P138-$C$108)/$C$107,0) + ROUNDDOWN(($Q138-$C$108)/$C$107,0)
+ROUNDDOWN(($R138-$C$108)/$C$107,0) + ROUNDDOWN(($S138-$C$108)/$C$107,0)
+ROUNDDOWN(($T138-$C$108)/$C$107,0)  )) / $B138 * 100</f>
        <v>2.3544431940444075</v>
      </c>
      <c r="D138" s="15">
        <f>C138-E138</f>
        <v>0.96838568733179109</v>
      </c>
      <c r="E138" s="32">
        <f>IF(D139 &gt; $D$110,D139/$B138*100,0)</f>
        <v>1.3860575067126164</v>
      </c>
      <c r="F138" s="78">
        <v>109.9</v>
      </c>
      <c r="G138" s="79">
        <v>97.8</v>
      </c>
      <c r="H138" s="79">
        <v>105.22315673828126</v>
      </c>
      <c r="I138" s="79"/>
      <c r="J138" s="79"/>
      <c r="K138" s="79"/>
      <c r="L138" s="79"/>
      <c r="M138" s="80"/>
      <c r="N138" s="38"/>
      <c r="O138" s="38"/>
      <c r="P138" s="38"/>
      <c r="Q138" s="38"/>
      <c r="R138" s="39"/>
      <c r="S138" s="102"/>
      <c r="T138" s="102"/>
      <c r="U138" s="102"/>
      <c r="V138" s="39"/>
      <c r="W138" s="17">
        <f>SUM(F138:T138)</f>
        <v>312.92315673828125</v>
      </c>
      <c r="X138" s="135">
        <v>25</v>
      </c>
      <c r="Y138" s="135">
        <v>2</v>
      </c>
      <c r="Z138" s="39">
        <v>68.92315673828125</v>
      </c>
      <c r="AA138" s="39">
        <v>26.07684326171875</v>
      </c>
      <c r="AB138" s="135">
        <v>3</v>
      </c>
      <c r="AC138" s="135">
        <v>2</v>
      </c>
      <c r="AD138" s="135">
        <v>2</v>
      </c>
      <c r="AE138" s="135">
        <v>2</v>
      </c>
      <c r="AF138" s="39"/>
    </row>
    <row r="139" spans="1:32" s="12" customFormat="1" ht="18.899999999999999" hidden="1" x14ac:dyDescent="0.35">
      <c r="A139" s="60"/>
      <c r="B139" s="13"/>
      <c r="C139" s="19">
        <f>$C$108*
(SIGN($F138)+SIGN($G138)+SIGN($H138)+SIGN($I138)
+SIGN($J138)+SIGN($K138)+SIGN($L138)+SIGN($M138)
+SIGN($N138)+SIGN($O138)+SIGN($P138)+SIGN($Q138)
+SIGN($R138)+SIGN($S138)+SIGN($T138))</f>
        <v>3</v>
      </c>
      <c r="D139" s="20">
        <f>$B138-$C139-$C$107*
(ROUNDDOWN(($F138-$C$108)/$C$107,0)+ROUNDDOWN(($G138-$C$108)/$C$107,0)
+ROUNDDOWN(($H138-$C$108)/$C$107,0)+ROUNDDOWN(($I138-$C$108)/$C$107,0)
+ROUNDDOWN(($J138-$C$108)/$C$107,0)+ROUNDDOWN(($K138-$C$108)/$C$107,0)
+ROUNDDOWN(($L138-$C$108)/$C$107,0)+ROUNDDOWN(($M138-$C$108)/$C$107,0)
+ROUNDDOWN(($N138-$C$108)/$C$107,0)+ROUNDDOWN(($O138-$C$108)/$C$107,0)
+ROUNDDOWN(($P138-$C$108)/$C$107,0)+ROUNDDOWN(($Q138-$C$108)/$C$107,0)
+ROUNDDOWN(($R138-$C$108)/$C$107,0)+ROUNDDOWN(($S138-$C$108)/$C$107,0)
+ROUNDDOWN(($T138-$C$108)/$C$107,0))</f>
        <v>4.293921909972596</v>
      </c>
      <c r="E139" s="129">
        <f>B138</f>
        <v>309.7939219099726</v>
      </c>
      <c r="F139" s="116"/>
      <c r="G139" s="116"/>
      <c r="H139" s="116"/>
      <c r="I139" s="116"/>
      <c r="J139" s="116"/>
      <c r="K139" s="116"/>
      <c r="L139" s="116"/>
      <c r="M139" s="106"/>
      <c r="N139" s="42"/>
      <c r="O139" s="43"/>
      <c r="P139" s="21"/>
      <c r="Q139" s="21"/>
      <c r="R139" s="42"/>
      <c r="S139" s="21"/>
      <c r="T139" s="21"/>
      <c r="U139" s="21"/>
      <c r="V139" s="39"/>
      <c r="W139" s="17"/>
      <c r="X139" s="135"/>
      <c r="Y139" s="135"/>
      <c r="Z139" s="39"/>
      <c r="AA139" s="39"/>
      <c r="AB139" s="135"/>
      <c r="AC139" s="135"/>
      <c r="AD139" s="135"/>
      <c r="AE139" s="135"/>
      <c r="AF139" s="39"/>
    </row>
    <row r="140" spans="1:32" s="12" customFormat="1" ht="18.899999999999999" hidden="1" x14ac:dyDescent="0.35">
      <c r="A140" s="60"/>
      <c r="B140" s="13"/>
      <c r="C140" s="22"/>
      <c r="D140" s="22"/>
      <c r="E140" s="22">
        <f>IF(B138&gt;0,(B138/ROUNDUP(ROUNDUP(((B138-($C$108*ROUNDUP(B138/$H$108,0)))/$C$107),0)/$H$107,0)-$C$108)/$C$107,0-$C$108/$C$107)</f>
        <v>8.4516231931121926</v>
      </c>
      <c r="F140" s="110"/>
      <c r="G140" s="111"/>
      <c r="H140" s="111"/>
      <c r="I140" s="111"/>
      <c r="J140" s="111"/>
      <c r="K140" s="111"/>
      <c r="L140" s="111"/>
      <c r="M140" s="125"/>
      <c r="P140" s="38"/>
      <c r="Q140" s="38"/>
      <c r="R140" s="39"/>
      <c r="S140" s="102"/>
      <c r="T140" s="102"/>
      <c r="U140" s="102"/>
      <c r="V140" s="39"/>
      <c r="W140" s="17"/>
      <c r="X140" s="135"/>
      <c r="Y140" s="135"/>
      <c r="Z140" s="39"/>
      <c r="AA140" s="39"/>
      <c r="AB140" s="135"/>
      <c r="AC140" s="135"/>
      <c r="AD140" s="135"/>
      <c r="AE140" s="135"/>
      <c r="AF140" s="39"/>
    </row>
    <row r="141" spans="1:32" s="12" customFormat="1" ht="18" x14ac:dyDescent="0.35">
      <c r="A141" s="60">
        <f>Лист1!P$3</f>
        <v>11.4</v>
      </c>
      <c r="B141" s="13">
        <f>Лист1!P$16</f>
        <v>315.32595622979358</v>
      </c>
      <c r="C141" s="14">
        <f>($B141-$C$107 * (
ROUNDDOWN(($F141-$C$108)/$C$107,0) +   ROUNDDOWN(($G141-$C$108)/$C$107,0)
+ROUNDDOWN(($H141-$C$108)/$C$107,0) + ROUNDDOWN(($I141-$C$108)/$C$107,0)
+ROUNDDOWN(($J141-$C$108)/$C$107,0) +  ROUNDDOWN(($K141-$C$108)/$C$107,0)
+ROUNDDOWN(($L141-$C$108)/$C$107,0) + ROUNDDOWN(($M141-$C$108)/$C$107,0)
+ROUNDDOWN(($N141-$C$108)/$C$107,0) + ROUNDDOWN(($O141-$C$108)/$C$107,0)
+ROUNDDOWN(($P141-$C$108)/$C$107,0) + ROUNDDOWN(($Q141-$C$108)/$C$107,0)
+ROUNDDOWN(($R141-$C$108)/$C$107,0) + ROUNDDOWN(($S141-$C$108)/$C$107,0)
+ROUNDDOWN(($T141-$C$108)/$C$107,0)  )) / $B141 * 100</f>
        <v>0.2302240635289059</v>
      </c>
      <c r="D141" s="15">
        <f>C141-E141</f>
        <v>0.2302240635289059</v>
      </c>
      <c r="E141" s="32">
        <f>IF(D142 &gt; $D$110,D142/$B141*100,0)</f>
        <v>0</v>
      </c>
      <c r="F141" s="78">
        <v>109.9</v>
      </c>
      <c r="G141" s="79">
        <v>97.8</v>
      </c>
      <c r="H141" s="79">
        <v>110.81107788085939</v>
      </c>
      <c r="I141" s="79"/>
      <c r="J141" s="79"/>
      <c r="K141" s="79"/>
      <c r="L141" s="79"/>
      <c r="M141" s="80"/>
      <c r="N141" s="38"/>
      <c r="O141" s="38"/>
      <c r="P141" s="38"/>
      <c r="Q141" s="38"/>
      <c r="R141" s="39"/>
      <c r="S141" s="102"/>
      <c r="T141" s="102"/>
      <c r="U141" s="102"/>
      <c r="V141" s="39"/>
      <c r="W141" s="17">
        <f>SUM(F141:T141)</f>
        <v>318.51107788085938</v>
      </c>
      <c r="X141" s="135">
        <v>26</v>
      </c>
      <c r="Y141" s="135">
        <v>2</v>
      </c>
      <c r="Z141" s="39">
        <v>74.511077880859375</v>
      </c>
      <c r="AA141" s="39">
        <v>20.488922119140625</v>
      </c>
      <c r="AB141" s="135">
        <v>2</v>
      </c>
      <c r="AC141" s="135">
        <v>2</v>
      </c>
      <c r="AD141" s="135">
        <v>2</v>
      </c>
      <c r="AE141" s="135">
        <v>2</v>
      </c>
      <c r="AF141" s="39">
        <v>12.1</v>
      </c>
    </row>
    <row r="142" spans="1:32" s="12" customFormat="1" ht="18.899999999999999" hidden="1" x14ac:dyDescent="0.35">
      <c r="A142" s="60"/>
      <c r="B142" s="13"/>
      <c r="C142" s="19">
        <f>$C$108*
(SIGN($F141)+SIGN($G141)+SIGN($H141)+SIGN($I141)
+SIGN($J141)+SIGN($K141)+SIGN($L141)+SIGN($M141)
+SIGN($N141)+SIGN($O141)+SIGN($P141)+SIGN($Q141)
+SIGN($R141)+SIGN($S141)+SIGN($T141))</f>
        <v>3</v>
      </c>
      <c r="D142" s="20">
        <f>$B141-$C142-$C$107*
(ROUNDDOWN(($F141-$C$108)/$C$107,0)+ROUNDDOWN(($G141-$C$108)/$C$107,0)
+ROUNDDOWN(($H141-$C$108)/$C$107,0)+ROUNDDOWN(($I141-$C$108)/$C$107,0)
+ROUNDDOWN(($J141-$C$108)/$C$107,0)+ROUNDDOWN(($K141-$C$108)/$C$107,0)
+ROUNDDOWN(($L141-$C$108)/$C$107,0)+ROUNDDOWN(($M141-$C$108)/$C$107,0)
+ROUNDDOWN(($N141-$C$108)/$C$107,0)+ROUNDDOWN(($O141-$C$108)/$C$107,0)
+ROUNDDOWN(($P141-$C$108)/$C$107,0)+ROUNDDOWN(($Q141-$C$108)/$C$107,0)
+ROUNDDOWN(($R141-$C$108)/$C$107,0)+ROUNDDOWN(($S141-$C$108)/$C$107,0)
+ROUNDDOWN(($T141-$C$108)/$C$107,0))</f>
        <v>-2.27404377020639</v>
      </c>
      <c r="E142" s="129">
        <f>B141</f>
        <v>315.32595622979358</v>
      </c>
      <c r="F142" s="116"/>
      <c r="G142" s="116"/>
      <c r="H142" s="116"/>
      <c r="I142" s="116"/>
      <c r="J142" s="116"/>
      <c r="K142" s="116"/>
      <c r="L142" s="116"/>
      <c r="M142" s="106"/>
      <c r="N142" s="42"/>
      <c r="O142" s="43"/>
      <c r="P142" s="21"/>
      <c r="Q142" s="21"/>
      <c r="R142" s="42"/>
      <c r="S142" s="21"/>
      <c r="T142" s="21"/>
      <c r="U142" s="21"/>
      <c r="V142" s="39"/>
      <c r="W142" s="17"/>
      <c r="X142" s="135"/>
      <c r="Y142" s="135"/>
      <c r="Z142" s="39"/>
      <c r="AA142" s="39"/>
      <c r="AB142" s="135"/>
      <c r="AC142" s="135"/>
      <c r="AD142" s="135"/>
      <c r="AE142" s="135"/>
      <c r="AF142" s="39"/>
    </row>
    <row r="143" spans="1:32" s="12" customFormat="1" ht="18.899999999999999" hidden="1" x14ac:dyDescent="0.35">
      <c r="A143" s="60"/>
      <c r="B143" s="13"/>
      <c r="C143" s="22"/>
      <c r="D143" s="22"/>
      <c r="E143" s="22">
        <f>IF(B141&gt;0,(B141/ROUNDUP(ROUNDUP(((B141-($C$108*ROUNDUP(B141/$H$108,0)))/$C$107),0)/$H$107,0)-$C$108)/$C$107,0-$C$108/$C$107)</f>
        <v>8.6040208327766834</v>
      </c>
      <c r="F143" s="110"/>
      <c r="G143" s="111"/>
      <c r="H143" s="111"/>
      <c r="I143" s="111"/>
      <c r="J143" s="111"/>
      <c r="K143" s="111"/>
      <c r="L143" s="111"/>
      <c r="M143" s="125"/>
      <c r="P143" s="38"/>
      <c r="Q143" s="38"/>
      <c r="R143" s="39"/>
      <c r="S143" s="102"/>
      <c r="T143" s="102"/>
      <c r="U143" s="102"/>
      <c r="V143" s="39"/>
      <c r="W143" s="17"/>
      <c r="X143" s="135"/>
      <c r="Y143" s="135"/>
      <c r="Z143" s="39"/>
      <c r="AA143" s="39"/>
      <c r="AB143" s="135"/>
      <c r="AC143" s="135"/>
      <c r="AD143" s="135"/>
      <c r="AE143" s="135"/>
      <c r="AF143" s="39"/>
    </row>
    <row r="144" spans="1:32" s="12" customFormat="1" ht="18" x14ac:dyDescent="0.35">
      <c r="A144" s="60">
        <f>Лист1!Q$3</f>
        <v>11.6</v>
      </c>
      <c r="B144" s="27">
        <f>Лист1!Q$16</f>
        <v>320.8579905496145</v>
      </c>
      <c r="C144" s="14">
        <f>($B144-$C$107 * (
ROUNDDOWN(($F144-$C$108)/$C$107,0) +   ROUNDDOWN(($G144-$C$108)/$C$107,0)
+ROUNDDOWN(($H144-$C$108)/$C$107,0) + ROUNDDOWN(($I144-$C$108)/$C$107,0)
+ROUNDDOWN(($J144-$C$108)/$C$107,0) +  ROUNDDOWN(($K144-$C$108)/$C$107,0)
+ROUNDDOWN(($L144-$C$108)/$C$107,0) + ROUNDDOWN(($M144-$C$108)/$C$107,0)
+ROUNDDOWN(($N144-$C$108)/$C$107,0) + ROUNDDOWN(($O144-$C$108)/$C$107,0)
+ROUNDDOWN(($P144-$C$108)/$C$107,0) + ROUNDDOWN(($Q144-$C$108)/$C$107,0)
+ROUNDDOWN(($R144-$C$108)/$C$107,0) + ROUNDDOWN(($S144-$C$108)/$C$107,0)
+ROUNDDOWN(($T144-$C$108)/$C$107,0)  )) / $B144 * 100</f>
        <v>1.9503926141577126</v>
      </c>
      <c r="D144" s="15">
        <f>C144-E144</f>
        <v>0.934993077423798</v>
      </c>
      <c r="E144" s="32">
        <f>IF(D145 &gt; $D$110,D145/$B144*100,0)</f>
        <v>1.0153995367339146</v>
      </c>
      <c r="F144" s="85">
        <v>109.9</v>
      </c>
      <c r="G144" s="82">
        <v>109.9</v>
      </c>
      <c r="H144" s="82">
        <v>104.29896850585936</v>
      </c>
      <c r="I144" s="82"/>
      <c r="J144" s="82"/>
      <c r="K144" s="82"/>
      <c r="L144" s="82"/>
      <c r="M144" s="86"/>
      <c r="N144" s="38"/>
      <c r="O144" s="38"/>
      <c r="P144" s="38"/>
      <c r="Q144" s="38"/>
      <c r="R144" s="39"/>
      <c r="S144" s="102"/>
      <c r="T144" s="102"/>
      <c r="U144" s="102"/>
      <c r="V144" s="199"/>
      <c r="W144" s="28">
        <f>SUM(F144:T144)</f>
        <v>324.09896850585938</v>
      </c>
      <c r="X144" s="135">
        <v>26</v>
      </c>
      <c r="Y144" s="135">
        <v>2</v>
      </c>
      <c r="Z144" s="39">
        <v>80.098968505859375</v>
      </c>
      <c r="AA144" s="39">
        <v>14.901031494140625</v>
      </c>
      <c r="AB144" s="135">
        <v>2</v>
      </c>
      <c r="AC144" s="135">
        <v>2</v>
      </c>
      <c r="AD144" s="135">
        <v>1</v>
      </c>
      <c r="AE144" s="135">
        <v>2</v>
      </c>
      <c r="AF144" s="39"/>
    </row>
    <row r="145" spans="1:32" s="12" customFormat="1" ht="18.899999999999999" hidden="1" x14ac:dyDescent="0.35">
      <c r="A145" s="60"/>
      <c r="B145" s="27"/>
      <c r="C145" s="19">
        <f>$C$108*
(SIGN($F144)+SIGN($G144)+SIGN($H144)+SIGN($I144)
+SIGN($J144)+SIGN($K144)+SIGN($L144)+SIGN($M144)
+SIGN($N144)+SIGN($O144)+SIGN($P144)+SIGN($Q144)
+SIGN($R144)+SIGN($S144)+SIGN($T144))</f>
        <v>3</v>
      </c>
      <c r="D145" s="20">
        <f>$B144-$C145-$C$107*
(ROUNDDOWN(($F144-$C$108)/$C$107,0)+ROUNDDOWN(($G144-$C$108)/$C$107,0)
+ROUNDDOWN(($H144-$C$108)/$C$107,0)+ROUNDDOWN(($I144-$C$108)/$C$107,0)
+ROUNDDOWN(($J144-$C$108)/$C$107,0)+ROUNDDOWN(($K144-$C$108)/$C$107,0)
+ROUNDDOWN(($L144-$C$108)/$C$107,0)+ROUNDDOWN(($M144-$C$108)/$C$107,0)
+ROUNDDOWN(($N144-$C$108)/$C$107,0)+ROUNDDOWN(($O144-$C$108)/$C$107,0)
+ROUNDDOWN(($P144-$C$108)/$C$107,0)+ROUNDDOWN(($Q144-$C$108)/$C$107,0)
+ROUNDDOWN(($R144-$C$108)/$C$107,0)+ROUNDDOWN(($S144-$C$108)/$C$107,0)
+ROUNDDOWN(($T144-$C$108)/$C$107,0))</f>
        <v>3.2579905496145329</v>
      </c>
      <c r="E145" s="129">
        <f>B144</f>
        <v>320.8579905496145</v>
      </c>
      <c r="F145" s="116"/>
      <c r="G145" s="116"/>
      <c r="H145" s="116"/>
      <c r="I145" s="116"/>
      <c r="J145" s="116"/>
      <c r="K145" s="116"/>
      <c r="L145" s="116"/>
      <c r="M145" s="106"/>
      <c r="N145" s="42"/>
      <c r="O145" s="43"/>
      <c r="P145" s="21"/>
      <c r="Q145" s="21"/>
      <c r="R145" s="42"/>
      <c r="S145" s="21"/>
      <c r="T145" s="21"/>
      <c r="U145" s="21"/>
      <c r="V145" s="39"/>
      <c r="W145" s="17"/>
      <c r="X145" s="135"/>
      <c r="Y145" s="135"/>
      <c r="Z145" s="39"/>
      <c r="AA145" s="39"/>
      <c r="AB145" s="135"/>
      <c r="AC145" s="135"/>
      <c r="AD145" s="135"/>
      <c r="AE145" s="135"/>
      <c r="AF145" s="39"/>
    </row>
    <row r="146" spans="1:32" s="12" customFormat="1" ht="18.899999999999999" hidden="1" x14ac:dyDescent="0.35">
      <c r="A146" s="60"/>
      <c r="B146" s="27"/>
      <c r="C146" s="22"/>
      <c r="D146" s="22"/>
      <c r="E146" s="22">
        <f>IF(B144&gt;0,(B144/ROUNDUP(ROUNDUP(((B144-($C$108*ROUNDUP(B144/$H$108,0)))/$C$107),0)/$H$107,0)-$C$108)/$C$107,0-$C$108/$C$107)</f>
        <v>8.7564184724411707</v>
      </c>
      <c r="F146" s="110"/>
      <c r="G146" s="111"/>
      <c r="H146" s="111"/>
      <c r="I146" s="111"/>
      <c r="J146" s="111"/>
      <c r="K146" s="111"/>
      <c r="L146" s="111"/>
      <c r="M146" s="125"/>
      <c r="P146" s="38"/>
      <c r="Q146" s="38"/>
      <c r="R146" s="39"/>
      <c r="S146" s="102"/>
      <c r="T146" s="102"/>
      <c r="U146" s="102"/>
      <c r="V146" s="39"/>
      <c r="W146" s="17"/>
      <c r="X146" s="135"/>
      <c r="Y146" s="135"/>
      <c r="Z146" s="39"/>
      <c r="AA146" s="39"/>
      <c r="AB146" s="135"/>
      <c r="AC146" s="135"/>
      <c r="AD146" s="135"/>
      <c r="AE146" s="135"/>
      <c r="AF146" s="39"/>
    </row>
    <row r="147" spans="1:32" s="12" customFormat="1" ht="18" x14ac:dyDescent="0.35">
      <c r="A147" s="60">
        <f>Лист1!R$3</f>
        <v>11.8</v>
      </c>
      <c r="B147" s="13">
        <f>Лист1!R$16</f>
        <v>326.39002486943548</v>
      </c>
      <c r="C147" s="14">
        <f>($B147-$C$107 * (
ROUNDDOWN(($F147-$C$108)/$C$107,0) +   ROUNDDOWN(($G147-$C$108)/$C$107,0)
+ROUNDDOWN(($H147-$C$108)/$C$107,0) + ROUNDDOWN(($I147-$C$108)/$C$107,0)
+ROUNDDOWN(($J147-$C$108)/$C$107,0) +  ROUNDDOWN(($K147-$C$108)/$C$107,0)
+ROUNDDOWN(($L147-$C$108)/$C$107,0) + ROUNDDOWN(($M147-$C$108)/$C$107,0)
+ROUNDDOWN(($N147-$C$108)/$C$107,0) + ROUNDDOWN(($O147-$C$108)/$C$107,0)
+ROUNDDOWN(($P147-$C$108)/$C$107,0) + ROUNDDOWN(($Q147-$C$108)/$C$107,0)
+ROUNDDOWN(($R147-$C$108)/$C$107,0) + ROUNDDOWN(($S147-$C$108)/$C$107,0)
+ROUNDDOWN(($T147-$C$108)/$C$107,0)  )) / $B147 * 100</f>
        <v>3.612250366460136</v>
      </c>
      <c r="D147" s="15">
        <f>C147-E147</f>
        <v>0.91914573712847902</v>
      </c>
      <c r="E147" s="32">
        <f>IF(D148 &gt; $D$110,D148/$B147*100,0)</f>
        <v>2.693104629331657</v>
      </c>
      <c r="F147" s="78">
        <v>109.9</v>
      </c>
      <c r="G147" s="79">
        <v>109.9</v>
      </c>
      <c r="H147" s="79">
        <v>109.88688964843749</v>
      </c>
      <c r="I147" s="79"/>
      <c r="J147" s="79"/>
      <c r="K147" s="79"/>
      <c r="L147" s="79"/>
      <c r="M147" s="80"/>
      <c r="N147" s="38"/>
      <c r="O147" s="38"/>
      <c r="P147" s="38"/>
      <c r="Q147" s="38"/>
      <c r="R147" s="39"/>
      <c r="S147" s="102"/>
      <c r="T147" s="102"/>
      <c r="U147" s="102"/>
      <c r="V147" s="39"/>
      <c r="W147" s="17">
        <f>SUM(F147:T147)</f>
        <v>329.6868896484375</v>
      </c>
      <c r="X147" s="135">
        <v>27</v>
      </c>
      <c r="Y147" s="135">
        <v>2</v>
      </c>
      <c r="Z147" s="39">
        <v>85.6868896484375</v>
      </c>
      <c r="AA147" s="39">
        <v>9.3131103515625</v>
      </c>
      <c r="AB147" s="135">
        <v>1</v>
      </c>
      <c r="AC147" s="135">
        <v>2</v>
      </c>
      <c r="AD147" s="135">
        <v>1</v>
      </c>
      <c r="AE147" s="135">
        <v>2</v>
      </c>
      <c r="AF147" s="39">
        <v>12.1</v>
      </c>
    </row>
    <row r="148" spans="1:32" s="12" customFormat="1" ht="18.899999999999999" hidden="1" x14ac:dyDescent="0.35">
      <c r="A148" s="60"/>
      <c r="B148" s="13"/>
      <c r="C148" s="19">
        <f>$C$108*
(SIGN($F147)+SIGN($G147)+SIGN($H147)+SIGN($I147)
+SIGN($J147)+SIGN($K147)+SIGN($L147)+SIGN($M147)
+SIGN($N147)+SIGN($O147)+SIGN($P147)+SIGN($Q147)
+SIGN($R147)+SIGN($S147)+SIGN($T147))</f>
        <v>3</v>
      </c>
      <c r="D148" s="20">
        <f>$B147-$C148-$C$107*
(ROUNDDOWN(($F147-$C$108)/$C$107,0)+ROUNDDOWN(($G147-$C$108)/$C$107,0)
+ROUNDDOWN(($H147-$C$108)/$C$107,0)+ROUNDDOWN(($I147-$C$108)/$C$107,0)
+ROUNDDOWN(($J147-$C$108)/$C$107,0)+ROUNDDOWN(($K147-$C$108)/$C$107,0)
+ROUNDDOWN(($L147-$C$108)/$C$107,0)+ROUNDDOWN(($M147-$C$108)/$C$107,0)
+ROUNDDOWN(($N147-$C$108)/$C$107,0)+ROUNDDOWN(($O147-$C$108)/$C$107,0)
+ROUNDDOWN(($P147-$C$108)/$C$107,0)+ROUNDDOWN(($Q147-$C$108)/$C$107,0)
+ROUNDDOWN(($R147-$C$108)/$C$107,0)+ROUNDDOWN(($S147-$C$108)/$C$107,0)
+ROUNDDOWN(($T147-$C$108)/$C$107,0))</f>
        <v>8.7900248694355128</v>
      </c>
      <c r="E148" s="129">
        <f>B147</f>
        <v>326.39002486943548</v>
      </c>
      <c r="F148" s="116"/>
      <c r="G148" s="116"/>
      <c r="H148" s="116"/>
      <c r="I148" s="116"/>
      <c r="J148" s="116"/>
      <c r="K148" s="116"/>
      <c r="L148" s="116"/>
      <c r="M148" s="117"/>
      <c r="N148" s="42"/>
      <c r="O148" s="43"/>
      <c r="P148" s="21"/>
      <c r="Q148" s="21"/>
      <c r="R148" s="42"/>
      <c r="S148" s="21"/>
      <c r="T148" s="21"/>
      <c r="U148" s="21"/>
      <c r="V148" s="39"/>
      <c r="W148" s="17"/>
      <c r="X148" s="135"/>
      <c r="Y148" s="135"/>
      <c r="Z148" s="39"/>
      <c r="AA148" s="39"/>
      <c r="AB148" s="135"/>
      <c r="AC148" s="135"/>
      <c r="AD148" s="135"/>
      <c r="AE148" s="135"/>
      <c r="AF148" s="39"/>
    </row>
    <row r="149" spans="1:32" s="12" customFormat="1" ht="18.899999999999999" hidden="1" x14ac:dyDescent="0.35">
      <c r="A149" s="60"/>
      <c r="B149" s="13"/>
      <c r="C149" s="22"/>
      <c r="D149" s="22"/>
      <c r="E149" s="22">
        <f>IF(B147&gt;0,(B147/ROUNDUP(ROUNDUP(((B147-($C$108*ROUNDUP(B147/$H$108,0)))/$C$107),0)/$H$107,0)-$C$108)/$C$107,0-$C$108/$C$107)</f>
        <v>8.9088161121056615</v>
      </c>
      <c r="F149" s="110"/>
      <c r="G149" s="111"/>
      <c r="H149" s="111"/>
      <c r="I149" s="111"/>
      <c r="J149" s="111"/>
      <c r="K149" s="111"/>
      <c r="L149" s="111"/>
      <c r="M149" s="115"/>
      <c r="P149" s="38"/>
      <c r="Q149" s="38"/>
      <c r="R149" s="39"/>
      <c r="S149" s="102"/>
      <c r="T149" s="102"/>
      <c r="U149" s="102"/>
      <c r="V149" s="39"/>
      <c r="W149" s="17"/>
      <c r="X149" s="135"/>
      <c r="Y149" s="135"/>
      <c r="Z149" s="39"/>
      <c r="AA149" s="39"/>
      <c r="AB149" s="135"/>
      <c r="AC149" s="135"/>
      <c r="AD149" s="135"/>
      <c r="AE149" s="135"/>
      <c r="AF149" s="39"/>
    </row>
    <row r="150" spans="1:32" s="12" customFormat="1" ht="18" x14ac:dyDescent="0.35">
      <c r="A150" s="60">
        <f>Лист1!S$3</f>
        <v>12</v>
      </c>
      <c r="B150" s="13">
        <f>Лист1!S$16</f>
        <v>331.9220591892564</v>
      </c>
      <c r="C150" s="14">
        <f>($B150-$C$107 * (
ROUNDDOWN(($F150-$C$108)/$C$107,0) +   ROUNDDOWN(($G150-$C$108)/$C$107,0)
+ROUNDDOWN(($H150-$C$108)/$C$107,0) + ROUNDDOWN(($I150-$C$108)/$C$107,0)
+ROUNDDOWN(($J150-$C$108)/$C$107,0) +  ROUNDDOWN(($K150-$C$108)/$C$107,0)
+ROUNDDOWN(($L150-$C$108)/$C$107,0) + ROUNDDOWN(($M150-$C$108)/$C$107,0)
+ROUNDDOWN(($N150-$C$108)/$C$107,0) + ROUNDDOWN(($O150-$C$108)/$C$107,0)
+ROUNDDOWN(($P150-$C$108)/$C$107,0) + ROUNDDOWN(($Q150-$C$108)/$C$107,0)
+ROUNDDOWN(($R150-$C$108)/$C$107,0) + ROUNDDOWN(($S150-$C$108)/$C$107,0)
+ROUNDDOWN(($T150-$C$108)/$C$107,0)  )) / $B150 * 100</f>
        <v>1.5732787395967804</v>
      </c>
      <c r="D150" s="15">
        <f>C150-E150</f>
        <v>1.5732787395967804</v>
      </c>
      <c r="E150" s="32">
        <f>IF(D151 &gt; $D$110,D151/$B150*100,0)</f>
        <v>0</v>
      </c>
      <c r="F150" s="87">
        <v>109.9</v>
      </c>
      <c r="G150" s="88">
        <v>109.9</v>
      </c>
      <c r="H150" s="88">
        <v>115.47481079101561</v>
      </c>
      <c r="I150" s="88"/>
      <c r="J150" s="88"/>
      <c r="K150" s="88"/>
      <c r="L150" s="88"/>
      <c r="M150" s="89"/>
      <c r="N150" s="16"/>
      <c r="O150" s="38"/>
      <c r="P150" s="38"/>
      <c r="Q150" s="38"/>
      <c r="R150" s="39"/>
      <c r="S150" s="102"/>
      <c r="T150" s="102"/>
      <c r="U150" s="102"/>
      <c r="V150" s="39"/>
      <c r="W150" s="17">
        <f>SUM(F150:T150)</f>
        <v>335.27481079101563</v>
      </c>
      <c r="X150" s="135">
        <v>27</v>
      </c>
      <c r="Y150" s="135">
        <v>2</v>
      </c>
      <c r="Z150" s="39">
        <v>91.274810791015625</v>
      </c>
      <c r="AA150" s="141">
        <v>3.725189208984375</v>
      </c>
      <c r="AB150" s="135">
        <v>1</v>
      </c>
      <c r="AC150" s="135">
        <v>2</v>
      </c>
      <c r="AD150" s="135">
        <v>1</v>
      </c>
      <c r="AE150" s="135">
        <v>2</v>
      </c>
      <c r="AF150" s="39">
        <v>12.1</v>
      </c>
    </row>
    <row r="151" spans="1:32" s="12" customFormat="1" ht="16.95" hidden="1" x14ac:dyDescent="0.3">
      <c r="B151" s="29"/>
      <c r="C151" s="19">
        <f>$C$108*
(SIGN($F150)+SIGN($G150)+SIGN($H150)+SIGN($I150)
+SIGN($J150)+SIGN($K150)+SIGN($L150)+SIGN($M150)
+SIGN($N150)+SIGN($O150)+SIGN($P150)+SIGN($Q150)
+SIGN($R150)+SIGN($S150)+SIGN($T150))</f>
        <v>3</v>
      </c>
      <c r="D151" s="20">
        <f>$B150-$C151-$C$107*
(ROUNDDOWN(($F150-$C$108)/$C$107,0)+ROUNDDOWN(($G150-$C$108)/$C$107,0)
+ROUNDDOWN(($H150-$C$108)/$C$107,0)+ROUNDDOWN(($I150-$C$108)/$C$107,0)
+ROUNDDOWN(($J150-$C$108)/$C$107,0)+ROUNDDOWN(($K150-$C$108)/$C$107,0)
+ROUNDDOWN(($L150-$C$108)/$C$107,0)+ROUNDDOWN(($M150-$C$108)/$C$107,0)
+ROUNDDOWN(($N150-$C$108)/$C$107,0)+ROUNDDOWN(($O150-$C$108)/$C$107,0)
+ROUNDDOWN(($P150-$C$108)/$C$107,0)+ROUNDDOWN(($Q150-$C$108)/$C$107,0)
+ROUNDDOWN(($R150-$C$108)/$C$107,0)+ROUNDDOWN(($S150-$C$108)/$C$107,0)
+ROUNDDOWN(($T150-$C$108)/$C$107,0))</f>
        <v>2.222059189256413</v>
      </c>
      <c r="E151" s="129">
        <f>B150</f>
        <v>331.9220591892564</v>
      </c>
      <c r="F151" s="20">
        <f>C151-F150</f>
        <v>-106.9</v>
      </c>
      <c r="G151" s="26">
        <f t="shared" ref="G151:M151" si="11">F151-G150</f>
        <v>-216.8</v>
      </c>
      <c r="H151" s="26">
        <f t="shared" si="11"/>
        <v>-332.27481079101563</v>
      </c>
      <c r="I151" s="26">
        <f t="shared" si="11"/>
        <v>-332.27481079101563</v>
      </c>
      <c r="J151" s="26">
        <f t="shared" si="11"/>
        <v>-332.27481079101563</v>
      </c>
      <c r="K151" s="26">
        <f t="shared" si="11"/>
        <v>-332.27481079101563</v>
      </c>
      <c r="L151" s="26">
        <f t="shared" si="11"/>
        <v>-332.27481079101563</v>
      </c>
      <c r="M151" s="26">
        <f t="shared" si="11"/>
        <v>-332.27481079101563</v>
      </c>
      <c r="N151" s="33"/>
      <c r="O151" s="43"/>
      <c r="P151" s="21"/>
      <c r="Q151" s="21"/>
      <c r="R151" s="42"/>
      <c r="S151" s="21"/>
      <c r="T151" s="21"/>
      <c r="U151" s="21"/>
      <c r="V151" s="41"/>
      <c r="W151" s="17"/>
      <c r="X151" s="135"/>
      <c r="Y151" s="135"/>
      <c r="Z151" s="39"/>
      <c r="AA151" s="39"/>
      <c r="AB151" s="135"/>
      <c r="AC151" s="135"/>
      <c r="AD151" s="135"/>
      <c r="AE151" s="135"/>
      <c r="AF151" s="39"/>
    </row>
    <row r="152" spans="1:32" s="12" customFormat="1" ht="16.95" hidden="1" x14ac:dyDescent="0.3">
      <c r="B152" s="29"/>
      <c r="C152" s="22"/>
      <c r="D152" s="22"/>
      <c r="E152" s="22">
        <f>IF(B150&gt;0,(B150/ROUNDUP(ROUNDUP(((B150-($C$108*ROUNDUP(B150/$H$108,0)))/$C$107),0)/$H$107,0)-$C$108)/$C$107,0-$C$108/$C$107)</f>
        <v>9.0612137517701488</v>
      </c>
      <c r="F152" s="54">
        <f>IF((($B150-($K$107*(ROUNDDOWN($B150/$K$107,0))))&lt;$E$107)*(($K$107+$B150-$K$107*(ROUNDDOWN($B150/$K$107,0)))&gt;$G$107),(ROUNDUP(($E$107-($B150-($K$107*(ROUNDDOWN($B150/$K$107,0)))))/$D$108,0)),0)</f>
        <v>0</v>
      </c>
      <c r="G152" s="53">
        <f>IF(F152&gt;($I$7-$H$7),($I$7-$H$7),F152)</f>
        <v>-1</v>
      </c>
      <c r="H152" s="53">
        <f>IF((F152-G152)&gt;($I$7-$H$7),($I$7-$H$7),F152-G152)</f>
        <v>-1</v>
      </c>
      <c r="I152" s="53">
        <f>IF((F152-G152-H152)&gt;($I$7-$H$7),($I$7-$H$7),F152-G152-H152)</f>
        <v>-1</v>
      </c>
      <c r="J152" s="53">
        <f>IF((F152-G152-H152-I152)&gt;($I$7-$H$7),($I$7-$H$7),F152-G152-H152-I152)</f>
        <v>-1</v>
      </c>
      <c r="K152" s="53">
        <f>IF((G152-H152-I152-J152)&gt;($I$7-$H$7),($I$7-$H$7),G152-H152-I152-J152)</f>
        <v>-1</v>
      </c>
      <c r="L152" s="53">
        <f>IF((H152-I152-J152-K152)&gt;($I$7-$H$7),($I$7-$H$7),H152-I152-J152-K152)</f>
        <v>-1</v>
      </c>
      <c r="M152" s="53">
        <f>IF((H152-I152-J152-K152-L152)&gt;($I$7-$H$7),($I$7-$H$7),H152-I152-J152-K152-L152)</f>
        <v>-1</v>
      </c>
      <c r="N152" s="22"/>
      <c r="P152" s="38"/>
      <c r="Q152" s="38"/>
      <c r="R152" s="39"/>
      <c r="S152" s="102"/>
      <c r="T152" s="102"/>
      <c r="U152" s="102"/>
      <c r="V152" s="41"/>
      <c r="W152" s="17"/>
      <c r="X152" s="135"/>
      <c r="Y152" s="135"/>
      <c r="Z152" s="39"/>
      <c r="AA152" s="39"/>
      <c r="AB152" s="135"/>
      <c r="AC152" s="135"/>
      <c r="AD152" s="135"/>
      <c r="AE152" s="135"/>
      <c r="AF152" s="39"/>
    </row>
    <row r="153" spans="1:32" s="12" customFormat="1" ht="17.399999999999999" x14ac:dyDescent="0.35">
      <c r="B153" s="30" t="s">
        <v>28</v>
      </c>
      <c r="C153" s="31">
        <f>AVERAGE(C111,C114,C117,C120,C123,C126,C129,C132,C135,C138,C141,C144,C147,C150,)</f>
        <v>4.5668230256708435</v>
      </c>
      <c r="D153" s="31">
        <f>AVERAGE(D111,D114,D117,D120,D123,D126,D129,D132,D135,D138,D141,D144,D147,D150,)</f>
        <v>0.93136580966422755</v>
      </c>
      <c r="E153" s="31">
        <f>AVERAGE(E111,E114,E117,E120,E123,E126,E129,E132,E135,E138,E141,E144,E147,E150,)</f>
        <v>3.6354572160066168</v>
      </c>
      <c r="V153" s="102"/>
      <c r="X153" s="96" t="s">
        <v>48</v>
      </c>
      <c r="Y153" s="96" t="s">
        <v>4</v>
      </c>
      <c r="Z153" s="39" t="s">
        <v>49</v>
      </c>
      <c r="AA153" s="97" t="s">
        <v>50</v>
      </c>
      <c r="AB153" s="96" t="s">
        <v>51</v>
      </c>
      <c r="AC153" s="96" t="s">
        <v>52</v>
      </c>
      <c r="AD153" s="96" t="s">
        <v>60</v>
      </c>
      <c r="AE153" s="96" t="s">
        <v>61</v>
      </c>
      <c r="AF153" s="39"/>
    </row>
  </sheetData>
  <mergeCells count="33">
    <mergeCell ref="M109:M110"/>
    <mergeCell ref="H109:H110"/>
    <mergeCell ref="I109:I110"/>
    <mergeCell ref="J109:J110"/>
    <mergeCell ref="K109:K110"/>
    <mergeCell ref="L109:L110"/>
    <mergeCell ref="A107:A109"/>
    <mergeCell ref="B109:B110"/>
    <mergeCell ref="C109:C110"/>
    <mergeCell ref="F109:F110"/>
    <mergeCell ref="G109:G110"/>
    <mergeCell ref="M9:M10"/>
    <mergeCell ref="A57:A59"/>
    <mergeCell ref="B59:B60"/>
    <mergeCell ref="C59:C60"/>
    <mergeCell ref="F59:F60"/>
    <mergeCell ref="G59:G60"/>
    <mergeCell ref="H59:H60"/>
    <mergeCell ref="I59:I60"/>
    <mergeCell ref="J59:J60"/>
    <mergeCell ref="K59:K60"/>
    <mergeCell ref="L59:L60"/>
    <mergeCell ref="M59:M60"/>
    <mergeCell ref="H9:H10"/>
    <mergeCell ref="I9:I10"/>
    <mergeCell ref="J9:J10"/>
    <mergeCell ref="K9:K10"/>
    <mergeCell ref="L9:L10"/>
    <mergeCell ref="A7:A9"/>
    <mergeCell ref="B9:B10"/>
    <mergeCell ref="C9:C10"/>
    <mergeCell ref="F9:F10"/>
    <mergeCell ref="G9:G10"/>
  </mergeCells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6</xdr:row>
                    <xdr:rowOff>22860</xdr:rowOff>
                  </from>
                  <to>
                    <xdr:col>0</xdr:col>
                    <xdr:colOff>586740</xdr:colOff>
                    <xdr:row>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56</xdr:row>
                    <xdr:rowOff>22860</xdr:rowOff>
                  </from>
                  <to>
                    <xdr:col>0</xdr:col>
                    <xdr:colOff>586740</xdr:colOff>
                    <xdr:row>58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Макрос14new" altText="A7">
                <anchor moveWithCells="1" sizeWithCells="1">
                  <from>
                    <xdr:col>0</xdr:col>
                    <xdr:colOff>22860</xdr:colOff>
                    <xdr:row>106</xdr:row>
                    <xdr:rowOff>22860</xdr:rowOff>
                  </from>
                  <to>
                    <xdr:col>0</xdr:col>
                    <xdr:colOff>586740</xdr:colOff>
                    <xdr:row>108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25"/>
  <dimension ref="V1:AI1"/>
  <sheetViews>
    <sheetView zoomScale="90" zoomScaleNormal="90" workbookViewId="0"/>
  </sheetViews>
  <sheetFormatPr defaultColWidth="8.88671875" defaultRowHeight="15.6" x14ac:dyDescent="0.3"/>
  <cols>
    <col min="1" max="21" width="8.88671875" style="12"/>
    <col min="22" max="22" width="8.88671875" style="102"/>
    <col min="23" max="23" width="8.88671875" style="12"/>
    <col min="24" max="25" width="8.88671875" style="135"/>
    <col min="26" max="27" width="8.88671875" style="39"/>
    <col min="28" max="31" width="8.88671875" style="135"/>
    <col min="32" max="32" width="8.88671875" style="39"/>
    <col min="33" max="35" width="8.88671875" style="135"/>
    <col min="36" max="16384" width="8.88671875" style="12"/>
  </cols>
  <sheetData/>
  <sheetProtection formatCells="0"/>
  <pageMargins left="0.11811023622047245" right="0.11811023622047245" top="0.23622047244094491" bottom="0" header="0.31496062992125984" footer="0.31496062992125984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28"/>
  <dimension ref="A2:T31"/>
  <sheetViews>
    <sheetView zoomScale="90" zoomScaleNormal="90" workbookViewId="0">
      <selection activeCell="E2" sqref="E2"/>
    </sheetView>
  </sheetViews>
  <sheetFormatPr defaultRowHeight="14.4" x14ac:dyDescent="0.3"/>
  <cols>
    <col min="1" max="1" width="4.6640625" customWidth="1"/>
    <col min="2" max="2" width="9.33203125" customWidth="1"/>
    <col min="3" max="4" width="10.6640625" customWidth="1"/>
    <col min="5" max="9" width="9.6640625" customWidth="1"/>
    <col min="10" max="16" width="8.6640625" customWidth="1"/>
    <col min="17" max="17" width="9.6640625" customWidth="1"/>
    <col min="18" max="20" width="8.6640625" customWidth="1"/>
  </cols>
  <sheetData>
    <row r="2" spans="1:20" ht="15" thickBot="1" x14ac:dyDescent="0.35">
      <c r="A2" s="206" t="s">
        <v>34</v>
      </c>
      <c r="B2" s="206"/>
      <c r="C2" s="206"/>
      <c r="D2" s="206"/>
      <c r="E2" s="65">
        <v>224.69</v>
      </c>
      <c r="F2" s="65"/>
      <c r="G2" s="65"/>
      <c r="H2" s="65"/>
      <c r="I2" s="65"/>
    </row>
    <row r="3" spans="1:20" ht="40.35" customHeight="1" thickBot="1" x14ac:dyDescent="0.35">
      <c r="A3" s="3"/>
      <c r="B3" s="4" t="s">
        <v>0</v>
      </c>
      <c r="C3" s="4" t="s">
        <v>1</v>
      </c>
      <c r="D3" s="4" t="s">
        <v>33</v>
      </c>
      <c r="E3" s="5" t="s">
        <v>2</v>
      </c>
      <c r="F3" s="47">
        <v>7</v>
      </c>
      <c r="G3" s="47">
        <v>7.5</v>
      </c>
      <c r="H3" s="47">
        <v>8</v>
      </c>
      <c r="I3" s="47">
        <v>8.5</v>
      </c>
      <c r="J3" s="47">
        <v>9</v>
      </c>
      <c r="K3" s="47">
        <v>9.5</v>
      </c>
      <c r="L3" s="55">
        <v>10</v>
      </c>
      <c r="M3" s="47">
        <v>10.5</v>
      </c>
      <c r="N3" s="47">
        <v>11</v>
      </c>
      <c r="O3" s="47">
        <v>11.2</v>
      </c>
      <c r="P3" s="47">
        <v>11.4</v>
      </c>
      <c r="Q3" s="48">
        <v>11.6</v>
      </c>
      <c r="R3" s="47">
        <v>11.8</v>
      </c>
      <c r="S3" s="55">
        <v>12</v>
      </c>
      <c r="T3" s="6"/>
    </row>
    <row r="4" spans="1:20" ht="15.15" customHeight="1" x14ac:dyDescent="0.3">
      <c r="A4" s="7">
        <v>1</v>
      </c>
      <c r="B4" s="147" t="s">
        <v>13</v>
      </c>
      <c r="C4" s="9">
        <v>0.39500000000000002</v>
      </c>
      <c r="D4" s="9">
        <v>0.50270000000000004</v>
      </c>
      <c r="E4" s="148">
        <f>E$2 / D4</f>
        <v>446.96638153968564</v>
      </c>
      <c r="F4" s="149">
        <f>F$3 * $E4</f>
        <v>3128.7646707777994</v>
      </c>
      <c r="G4" s="149">
        <f t="shared" ref="G4:S19" si="0">G$3 * $E4</f>
        <v>3352.2478615476425</v>
      </c>
      <c r="H4" s="149">
        <f t="shared" si="0"/>
        <v>3575.7310523174851</v>
      </c>
      <c r="I4" s="149">
        <f t="shared" si="0"/>
        <v>3799.2142430873278</v>
      </c>
      <c r="J4" s="149">
        <f>J$3 * $E4</f>
        <v>4022.6974338571708</v>
      </c>
      <c r="K4" s="149">
        <f t="shared" ref="K4:S8" si="1">K$3 * $E4</f>
        <v>4246.1806246270135</v>
      </c>
      <c r="L4" s="56">
        <f t="shared" si="1"/>
        <v>4469.6638153968561</v>
      </c>
      <c r="M4" s="149">
        <f t="shared" si="1"/>
        <v>4693.1470061666996</v>
      </c>
      <c r="N4" s="149">
        <f t="shared" si="1"/>
        <v>4916.6301969365422</v>
      </c>
      <c r="O4" s="149">
        <f t="shared" si="1"/>
        <v>5006.0234732444787</v>
      </c>
      <c r="P4" s="149">
        <f t="shared" si="1"/>
        <v>5095.4167495524161</v>
      </c>
      <c r="Q4" s="150">
        <f t="shared" si="1"/>
        <v>5184.8100258603536</v>
      </c>
      <c r="R4" s="149">
        <f t="shared" si="1"/>
        <v>5274.203302168291</v>
      </c>
      <c r="S4" s="56">
        <f t="shared" si="1"/>
        <v>5363.5965784762275</v>
      </c>
      <c r="T4" s="151"/>
    </row>
    <row r="5" spans="1:20" ht="15.15" customHeight="1" x14ac:dyDescent="0.3">
      <c r="A5" s="7">
        <f>1+A4</f>
        <v>2</v>
      </c>
      <c r="B5" s="64" t="s">
        <v>15</v>
      </c>
      <c r="C5" s="9">
        <v>0.61599999999999999</v>
      </c>
      <c r="D5" s="9">
        <v>0.78539999999999999</v>
      </c>
      <c r="E5" s="57">
        <f t="shared" ref="E5:E8" si="2">E$2 / D5 /2</f>
        <v>143.04176215940922</v>
      </c>
      <c r="F5" s="49">
        <f t="shared" ref="F5:F19" si="3">F$3 * $E5</f>
        <v>1001.2923351158645</v>
      </c>
      <c r="G5" s="49">
        <f t="shared" si="0"/>
        <v>1072.8132161955691</v>
      </c>
      <c r="H5" s="49">
        <f t="shared" si="0"/>
        <v>1144.3340972752737</v>
      </c>
      <c r="I5" s="49">
        <f t="shared" si="0"/>
        <v>1215.8549783549784</v>
      </c>
      <c r="J5" s="49">
        <f t="shared" si="0"/>
        <v>1287.375859434683</v>
      </c>
      <c r="K5" s="49">
        <f t="shared" si="1"/>
        <v>1358.8967405143876</v>
      </c>
      <c r="L5" s="56">
        <f t="shared" si="1"/>
        <v>1430.4176215940922</v>
      </c>
      <c r="M5" s="49">
        <f t="shared" si="1"/>
        <v>1501.9385026737968</v>
      </c>
      <c r="N5" s="49">
        <f t="shared" si="1"/>
        <v>1573.4593837535015</v>
      </c>
      <c r="O5" s="49">
        <f t="shared" si="1"/>
        <v>1602.0677361853832</v>
      </c>
      <c r="P5" s="49">
        <f t="shared" si="1"/>
        <v>1630.6760886172651</v>
      </c>
      <c r="Q5" s="50">
        <f t="shared" si="1"/>
        <v>1659.2844410491468</v>
      </c>
      <c r="R5" s="49">
        <f t="shared" si="1"/>
        <v>1687.8927934810288</v>
      </c>
      <c r="S5" s="56">
        <f t="shared" si="1"/>
        <v>1716.5011459129105</v>
      </c>
      <c r="T5" s="207" t="s">
        <v>26</v>
      </c>
    </row>
    <row r="6" spans="1:20" x14ac:dyDescent="0.3">
      <c r="A6" s="7">
        <f t="shared" ref="A6:A19" si="4">1+A5</f>
        <v>3</v>
      </c>
      <c r="B6" s="64" t="s">
        <v>16</v>
      </c>
      <c r="C6" s="9">
        <v>0.88800000000000001</v>
      </c>
      <c r="D6" s="9">
        <v>1.131</v>
      </c>
      <c r="E6" s="57">
        <f t="shared" si="2"/>
        <v>99.332449160035367</v>
      </c>
      <c r="F6" s="49">
        <f t="shared" si="3"/>
        <v>695.32714412024757</v>
      </c>
      <c r="G6" s="49">
        <f t="shared" si="0"/>
        <v>744.99336870026525</v>
      </c>
      <c r="H6" s="49">
        <f t="shared" si="0"/>
        <v>794.65959328028293</v>
      </c>
      <c r="I6" s="49">
        <f t="shared" si="0"/>
        <v>844.32581786030062</v>
      </c>
      <c r="J6" s="49">
        <f t="shared" si="0"/>
        <v>893.9920424403183</v>
      </c>
      <c r="K6" s="49">
        <f t="shared" si="1"/>
        <v>943.65826702033598</v>
      </c>
      <c r="L6" s="56">
        <f t="shared" si="1"/>
        <v>993.32449160035367</v>
      </c>
      <c r="M6" s="49">
        <f t="shared" si="1"/>
        <v>1042.9907161803712</v>
      </c>
      <c r="N6" s="49">
        <f t="shared" si="1"/>
        <v>1092.656940760389</v>
      </c>
      <c r="O6" s="49">
        <f t="shared" si="1"/>
        <v>1112.5234305923959</v>
      </c>
      <c r="P6" s="49">
        <f t="shared" si="1"/>
        <v>1132.3899204244033</v>
      </c>
      <c r="Q6" s="50">
        <f t="shared" si="1"/>
        <v>1152.2564102564102</v>
      </c>
      <c r="R6" s="49">
        <f t="shared" si="1"/>
        <v>1172.1229000884175</v>
      </c>
      <c r="S6" s="56">
        <f t="shared" si="1"/>
        <v>1191.9893899204244</v>
      </c>
      <c r="T6" s="207"/>
    </row>
    <row r="7" spans="1:20" x14ac:dyDescent="0.3">
      <c r="A7" s="7">
        <f t="shared" si="4"/>
        <v>4</v>
      </c>
      <c r="B7" s="64" t="s">
        <v>14</v>
      </c>
      <c r="C7" s="9">
        <v>1.21</v>
      </c>
      <c r="D7" s="9">
        <v>1.5389999999999999</v>
      </c>
      <c r="E7" s="57">
        <f t="shared" si="2"/>
        <v>72.998700454840815</v>
      </c>
      <c r="F7" s="49">
        <f t="shared" si="3"/>
        <v>510.99090318388573</v>
      </c>
      <c r="G7" s="49">
        <f t="shared" si="0"/>
        <v>547.49025341130607</v>
      </c>
      <c r="H7" s="49">
        <f t="shared" si="0"/>
        <v>583.98960363872652</v>
      </c>
      <c r="I7" s="49">
        <f t="shared" si="0"/>
        <v>620.48895386614697</v>
      </c>
      <c r="J7" s="49">
        <f t="shared" si="0"/>
        <v>656.98830409356731</v>
      </c>
      <c r="K7" s="49">
        <f t="shared" si="1"/>
        <v>693.48765432098776</v>
      </c>
      <c r="L7" s="56">
        <f t="shared" si="1"/>
        <v>729.98700454840809</v>
      </c>
      <c r="M7" s="49">
        <f t="shared" si="1"/>
        <v>766.48635477582854</v>
      </c>
      <c r="N7" s="49">
        <f t="shared" si="1"/>
        <v>802.985705003249</v>
      </c>
      <c r="O7" s="49">
        <f t="shared" si="1"/>
        <v>817.58544509421711</v>
      </c>
      <c r="P7" s="49">
        <f t="shared" si="1"/>
        <v>832.18518518518533</v>
      </c>
      <c r="Q7" s="50">
        <f t="shared" si="1"/>
        <v>846.78492527615344</v>
      </c>
      <c r="R7" s="49">
        <f t="shared" si="1"/>
        <v>861.38466536712167</v>
      </c>
      <c r="S7" s="56">
        <f t="shared" si="1"/>
        <v>875.98440545808978</v>
      </c>
      <c r="T7" s="207"/>
    </row>
    <row r="8" spans="1:20" x14ac:dyDescent="0.3">
      <c r="A8" s="7">
        <f t="shared" si="4"/>
        <v>5</v>
      </c>
      <c r="B8" s="64" t="s">
        <v>10</v>
      </c>
      <c r="C8" s="9">
        <v>1.58</v>
      </c>
      <c r="D8" s="9">
        <v>2.0110000000000001</v>
      </c>
      <c r="E8" s="57">
        <f t="shared" si="2"/>
        <v>55.865241173545499</v>
      </c>
      <c r="F8" s="49">
        <f t="shared" si="3"/>
        <v>391.05668821481851</v>
      </c>
      <c r="G8" s="49">
        <f t="shared" si="0"/>
        <v>418.98930880159122</v>
      </c>
      <c r="H8" s="49">
        <f t="shared" si="0"/>
        <v>446.92192938836399</v>
      </c>
      <c r="I8" s="49">
        <f t="shared" si="0"/>
        <v>474.85454997513676</v>
      </c>
      <c r="J8" s="49">
        <f t="shared" si="0"/>
        <v>502.78717056190948</v>
      </c>
      <c r="K8" s="49">
        <f t="shared" si="1"/>
        <v>530.71979114868225</v>
      </c>
      <c r="L8" s="56">
        <f t="shared" si="1"/>
        <v>558.65241173545496</v>
      </c>
      <c r="M8" s="49">
        <f t="shared" si="1"/>
        <v>586.58503232222779</v>
      </c>
      <c r="N8" s="49">
        <f t="shared" si="1"/>
        <v>614.5176529090005</v>
      </c>
      <c r="O8" s="49">
        <f t="shared" si="1"/>
        <v>625.69070114370959</v>
      </c>
      <c r="P8" s="49">
        <f t="shared" si="1"/>
        <v>636.86374937841867</v>
      </c>
      <c r="Q8" s="50">
        <f t="shared" si="1"/>
        <v>648.03679761312776</v>
      </c>
      <c r="R8" s="49">
        <f t="shared" si="1"/>
        <v>659.20984584783696</v>
      </c>
      <c r="S8" s="56">
        <f t="shared" si="1"/>
        <v>670.38289408254604</v>
      </c>
      <c r="T8" s="208"/>
    </row>
    <row r="9" spans="1:20" ht="15" x14ac:dyDescent="0.3">
      <c r="A9" s="7">
        <f t="shared" si="4"/>
        <v>6</v>
      </c>
      <c r="B9" s="8" t="s">
        <v>25</v>
      </c>
      <c r="C9" s="9">
        <v>2</v>
      </c>
      <c r="D9" s="9">
        <v>2.5449999999999999</v>
      </c>
      <c r="E9" s="10">
        <f t="shared" ref="E9:E19" si="5">E$2 / D9</f>
        <v>88.286836935167003</v>
      </c>
      <c r="F9" s="51">
        <f t="shared" si="3"/>
        <v>618.00785854616902</v>
      </c>
      <c r="G9" s="51">
        <f t="shared" si="0"/>
        <v>662.15127701375252</v>
      </c>
      <c r="H9" s="51">
        <f t="shared" si="0"/>
        <v>706.29469548133602</v>
      </c>
      <c r="I9" s="51">
        <f t="shared" si="0"/>
        <v>750.43811394891952</v>
      </c>
      <c r="J9" s="51">
        <f t="shared" si="0"/>
        <v>794.58153241650302</v>
      </c>
      <c r="K9" s="51">
        <f t="shared" si="0"/>
        <v>838.72495088408652</v>
      </c>
      <c r="L9" s="56">
        <f t="shared" si="0"/>
        <v>882.86836935167003</v>
      </c>
      <c r="M9" s="51">
        <f t="shared" si="0"/>
        <v>927.01178781925353</v>
      </c>
      <c r="N9" s="51">
        <f t="shared" si="0"/>
        <v>971.15520628683703</v>
      </c>
      <c r="O9" s="51">
        <f t="shared" si="0"/>
        <v>988.81257367387036</v>
      </c>
      <c r="P9" s="51">
        <f t="shared" si="0"/>
        <v>1006.4699410609038</v>
      </c>
      <c r="Q9" s="52">
        <f t="shared" si="0"/>
        <v>1024.1273084479371</v>
      </c>
      <c r="R9" s="51">
        <f t="shared" si="0"/>
        <v>1041.7846758349706</v>
      </c>
      <c r="S9" s="56">
        <f t="shared" si="0"/>
        <v>1059.442043222004</v>
      </c>
      <c r="T9" s="3"/>
    </row>
    <row r="10" spans="1:20" ht="15" x14ac:dyDescent="0.3">
      <c r="A10" s="7">
        <f t="shared" si="4"/>
        <v>7</v>
      </c>
      <c r="B10" s="8" t="s">
        <v>24</v>
      </c>
      <c r="C10" s="9">
        <v>2.4700000000000002</v>
      </c>
      <c r="D10" s="9">
        <v>3.1419999999999999</v>
      </c>
      <c r="E10" s="10">
        <f t="shared" si="5"/>
        <v>71.511775938892427</v>
      </c>
      <c r="F10" s="51">
        <f t="shared" si="3"/>
        <v>500.582431572247</v>
      </c>
      <c r="G10" s="51">
        <f t="shared" si="0"/>
        <v>536.33831954169318</v>
      </c>
      <c r="H10" s="51">
        <f t="shared" si="0"/>
        <v>572.09420751113942</v>
      </c>
      <c r="I10" s="51">
        <f t="shared" si="0"/>
        <v>607.85009548058565</v>
      </c>
      <c r="J10" s="51">
        <f t="shared" si="0"/>
        <v>643.60598345003189</v>
      </c>
      <c r="K10" s="51">
        <f t="shared" si="0"/>
        <v>679.36187141947801</v>
      </c>
      <c r="L10" s="56">
        <f t="shared" si="0"/>
        <v>715.11775938892424</v>
      </c>
      <c r="M10" s="51">
        <f t="shared" si="0"/>
        <v>750.87364735837048</v>
      </c>
      <c r="N10" s="51">
        <f t="shared" si="0"/>
        <v>786.62953532781671</v>
      </c>
      <c r="O10" s="51">
        <f t="shared" si="0"/>
        <v>800.93189051559511</v>
      </c>
      <c r="P10" s="51">
        <f t="shared" si="0"/>
        <v>815.23424570337374</v>
      </c>
      <c r="Q10" s="52">
        <f t="shared" si="0"/>
        <v>829.53660089115215</v>
      </c>
      <c r="R10" s="51">
        <f t="shared" si="0"/>
        <v>843.83895607893066</v>
      </c>
      <c r="S10" s="56">
        <f t="shared" si="0"/>
        <v>858.14131126670918</v>
      </c>
      <c r="T10" s="3"/>
    </row>
    <row r="11" spans="1:20" ht="15" x14ac:dyDescent="0.3">
      <c r="A11" s="7">
        <f t="shared" si="4"/>
        <v>8</v>
      </c>
      <c r="B11" s="8" t="s">
        <v>23</v>
      </c>
      <c r="C11" s="9">
        <v>2.98</v>
      </c>
      <c r="D11" s="9">
        <v>3.8010000000000002</v>
      </c>
      <c r="E11" s="10">
        <f t="shared" si="5"/>
        <v>59.113391212838721</v>
      </c>
      <c r="F11" s="51">
        <f t="shared" si="3"/>
        <v>413.79373848987103</v>
      </c>
      <c r="G11" s="51">
        <f t="shared" si="0"/>
        <v>443.35043409629043</v>
      </c>
      <c r="H11" s="51">
        <f t="shared" si="0"/>
        <v>472.90712970270977</v>
      </c>
      <c r="I11" s="51">
        <f t="shared" si="0"/>
        <v>502.46382530912911</v>
      </c>
      <c r="J11" s="51">
        <f t="shared" si="0"/>
        <v>532.02052091554845</v>
      </c>
      <c r="K11" s="51">
        <f t="shared" si="0"/>
        <v>561.5772165219679</v>
      </c>
      <c r="L11" s="56">
        <f t="shared" si="0"/>
        <v>591.13391212838724</v>
      </c>
      <c r="M11" s="51">
        <f t="shared" si="0"/>
        <v>620.69060773480658</v>
      </c>
      <c r="N11" s="51">
        <f t="shared" si="0"/>
        <v>650.24730334122592</v>
      </c>
      <c r="O11" s="51">
        <f t="shared" si="0"/>
        <v>662.06998158379361</v>
      </c>
      <c r="P11" s="51">
        <f t="shared" si="0"/>
        <v>673.89265982636141</v>
      </c>
      <c r="Q11" s="52">
        <f t="shared" si="0"/>
        <v>685.7153380689291</v>
      </c>
      <c r="R11" s="51">
        <f t="shared" si="0"/>
        <v>697.5380163114969</v>
      </c>
      <c r="S11" s="56">
        <f t="shared" si="0"/>
        <v>709.36069455406459</v>
      </c>
      <c r="T11" s="3"/>
    </row>
    <row r="12" spans="1:20" ht="15" x14ac:dyDescent="0.3">
      <c r="A12" s="7">
        <f t="shared" si="4"/>
        <v>9</v>
      </c>
      <c r="B12" s="8" t="s">
        <v>22</v>
      </c>
      <c r="C12" s="9">
        <v>3.55</v>
      </c>
      <c r="D12" s="9">
        <v>4.524</v>
      </c>
      <c r="E12" s="10">
        <f t="shared" si="5"/>
        <v>49.666224580017683</v>
      </c>
      <c r="F12" s="51">
        <f t="shared" si="3"/>
        <v>347.66357206012378</v>
      </c>
      <c r="G12" s="51">
        <f t="shared" si="0"/>
        <v>372.49668435013263</v>
      </c>
      <c r="H12" s="51">
        <f t="shared" si="0"/>
        <v>397.32979664014147</v>
      </c>
      <c r="I12" s="51">
        <f t="shared" si="0"/>
        <v>422.16290893015031</v>
      </c>
      <c r="J12" s="51">
        <f t="shared" si="0"/>
        <v>446.99602122015915</v>
      </c>
      <c r="K12" s="51">
        <f t="shared" si="0"/>
        <v>471.82913351016799</v>
      </c>
      <c r="L12" s="56">
        <f t="shared" si="0"/>
        <v>496.66224580017683</v>
      </c>
      <c r="M12" s="51">
        <f t="shared" si="0"/>
        <v>521.49535809018562</v>
      </c>
      <c r="N12" s="51">
        <f t="shared" si="0"/>
        <v>546.32847038019452</v>
      </c>
      <c r="O12" s="51">
        <f t="shared" si="0"/>
        <v>556.26171529619796</v>
      </c>
      <c r="P12" s="51">
        <f t="shared" si="0"/>
        <v>566.19496021220164</v>
      </c>
      <c r="Q12" s="52">
        <f t="shared" si="0"/>
        <v>576.12820512820508</v>
      </c>
      <c r="R12" s="51">
        <f t="shared" si="0"/>
        <v>586.06145004420875</v>
      </c>
      <c r="S12" s="56">
        <f t="shared" si="0"/>
        <v>595.9946949602122</v>
      </c>
      <c r="T12" s="3"/>
    </row>
    <row r="13" spans="1:20" ht="15" x14ac:dyDescent="0.3">
      <c r="A13" s="7">
        <f t="shared" si="4"/>
        <v>10</v>
      </c>
      <c r="B13" s="8" t="s">
        <v>21</v>
      </c>
      <c r="C13" s="9">
        <v>3.85</v>
      </c>
      <c r="D13" s="9">
        <v>4.9089999999999998</v>
      </c>
      <c r="E13" s="10">
        <f t="shared" si="5"/>
        <v>45.771032796903647</v>
      </c>
      <c r="F13" s="51">
        <f t="shared" si="3"/>
        <v>320.39722957832555</v>
      </c>
      <c r="G13" s="51">
        <f t="shared" si="0"/>
        <v>343.28274597677733</v>
      </c>
      <c r="H13" s="51">
        <f t="shared" si="0"/>
        <v>366.16826237522918</v>
      </c>
      <c r="I13" s="51">
        <f t="shared" si="0"/>
        <v>389.05377877368102</v>
      </c>
      <c r="J13" s="51">
        <f t="shared" si="0"/>
        <v>411.9392951721328</v>
      </c>
      <c r="K13" s="51">
        <f t="shared" si="0"/>
        <v>434.82481157058464</v>
      </c>
      <c r="L13" s="56">
        <f t="shared" si="0"/>
        <v>457.71032796903648</v>
      </c>
      <c r="M13" s="51">
        <f t="shared" si="0"/>
        <v>480.59584436748827</v>
      </c>
      <c r="N13" s="51">
        <f t="shared" si="0"/>
        <v>503.48136076594011</v>
      </c>
      <c r="O13" s="51">
        <f t="shared" si="0"/>
        <v>512.63556732532084</v>
      </c>
      <c r="P13" s="51">
        <f t="shared" si="0"/>
        <v>521.78977388470162</v>
      </c>
      <c r="Q13" s="52">
        <f t="shared" si="0"/>
        <v>530.94398044408229</v>
      </c>
      <c r="R13" s="51">
        <f t="shared" si="0"/>
        <v>540.09818700346307</v>
      </c>
      <c r="S13" s="56">
        <f t="shared" si="0"/>
        <v>549.25239356284374</v>
      </c>
      <c r="T13" s="3"/>
    </row>
    <row r="14" spans="1:20" ht="15" x14ac:dyDescent="0.3">
      <c r="A14" s="7">
        <f t="shared" si="4"/>
        <v>11</v>
      </c>
      <c r="B14" s="8" t="s">
        <v>20</v>
      </c>
      <c r="C14" s="9">
        <v>4.83</v>
      </c>
      <c r="D14" s="9">
        <v>6.1580000000000004</v>
      </c>
      <c r="E14" s="10">
        <f t="shared" si="5"/>
        <v>36.487495940240336</v>
      </c>
      <c r="F14" s="51">
        <f t="shared" si="3"/>
        <v>255.41247158168235</v>
      </c>
      <c r="G14" s="51">
        <f t="shared" si="0"/>
        <v>273.65621955180251</v>
      </c>
      <c r="H14" s="51">
        <f t="shared" si="0"/>
        <v>291.89996752192269</v>
      </c>
      <c r="I14" s="51">
        <f t="shared" si="0"/>
        <v>310.14371549204287</v>
      </c>
      <c r="J14" s="51">
        <f t="shared" si="0"/>
        <v>328.38746346216305</v>
      </c>
      <c r="K14" s="51">
        <f t="shared" si="0"/>
        <v>346.63121143228318</v>
      </c>
      <c r="L14" s="56">
        <f t="shared" si="0"/>
        <v>364.87495940240336</v>
      </c>
      <c r="M14" s="51">
        <f t="shared" si="0"/>
        <v>383.11870737252355</v>
      </c>
      <c r="N14" s="51">
        <f t="shared" si="0"/>
        <v>401.36245534264367</v>
      </c>
      <c r="O14" s="51">
        <f t="shared" si="0"/>
        <v>408.65995453069172</v>
      </c>
      <c r="P14" s="51">
        <f t="shared" si="0"/>
        <v>415.95745371873983</v>
      </c>
      <c r="Q14" s="52">
        <f t="shared" si="0"/>
        <v>423.25495290678788</v>
      </c>
      <c r="R14" s="51">
        <f t="shared" si="0"/>
        <v>430.55245209483599</v>
      </c>
      <c r="S14" s="56">
        <f t="shared" si="0"/>
        <v>437.84995128288404</v>
      </c>
      <c r="T14" s="3"/>
    </row>
    <row r="15" spans="1:20" ht="15" x14ac:dyDescent="0.3">
      <c r="A15" s="7">
        <f t="shared" si="4"/>
        <v>12</v>
      </c>
      <c r="B15" s="8" t="s">
        <v>19</v>
      </c>
      <c r="C15" s="9">
        <v>5.55</v>
      </c>
      <c r="D15" s="9">
        <v>7.069</v>
      </c>
      <c r="E15" s="10">
        <f t="shared" si="5"/>
        <v>31.785259584099588</v>
      </c>
      <c r="F15" s="51">
        <f t="shared" si="3"/>
        <v>222.49681708869713</v>
      </c>
      <c r="G15" s="51">
        <f t="shared" si="0"/>
        <v>238.3894468807469</v>
      </c>
      <c r="H15" s="51">
        <f t="shared" si="0"/>
        <v>254.28207667279671</v>
      </c>
      <c r="I15" s="51">
        <f t="shared" si="0"/>
        <v>270.17470646484651</v>
      </c>
      <c r="J15" s="51">
        <f t="shared" si="0"/>
        <v>286.06733625689628</v>
      </c>
      <c r="K15" s="51">
        <f t="shared" si="0"/>
        <v>301.95996604894611</v>
      </c>
      <c r="L15" s="56">
        <f t="shared" si="0"/>
        <v>317.85259584099589</v>
      </c>
      <c r="M15" s="51">
        <f t="shared" si="0"/>
        <v>333.74522563304566</v>
      </c>
      <c r="N15" s="51">
        <f t="shared" si="0"/>
        <v>349.63785542509549</v>
      </c>
      <c r="O15" s="51">
        <f t="shared" si="0"/>
        <v>355.99490734191539</v>
      </c>
      <c r="P15" s="51">
        <f t="shared" si="0"/>
        <v>362.35195925873529</v>
      </c>
      <c r="Q15" s="52">
        <f t="shared" si="0"/>
        <v>368.70901117555519</v>
      </c>
      <c r="R15" s="51">
        <f t="shared" si="0"/>
        <v>375.06606309237515</v>
      </c>
      <c r="S15" s="56">
        <f t="shared" si="0"/>
        <v>381.42311500919504</v>
      </c>
      <c r="T15" s="3"/>
    </row>
    <row r="16" spans="1:20" ht="15" x14ac:dyDescent="0.3">
      <c r="A16" s="7">
        <f t="shared" si="4"/>
        <v>13</v>
      </c>
      <c r="B16" s="8" t="s">
        <v>18</v>
      </c>
      <c r="C16" s="9">
        <v>6.31</v>
      </c>
      <c r="D16" s="9">
        <v>8.0419999999999998</v>
      </c>
      <c r="E16" s="10">
        <f t="shared" si="5"/>
        <v>27.939567271822931</v>
      </c>
      <c r="F16" s="51">
        <f t="shared" si="3"/>
        <v>195.57697090276051</v>
      </c>
      <c r="G16" s="51">
        <f t="shared" si="0"/>
        <v>209.54675453867199</v>
      </c>
      <c r="H16" s="51">
        <f t="shared" si="0"/>
        <v>223.51653817458345</v>
      </c>
      <c r="I16" s="51">
        <f t="shared" si="0"/>
        <v>237.4863218104949</v>
      </c>
      <c r="J16" s="51">
        <f t="shared" si="0"/>
        <v>251.45610544640638</v>
      </c>
      <c r="K16" s="51">
        <f t="shared" si="0"/>
        <v>265.42588908231784</v>
      </c>
      <c r="L16" s="56">
        <f t="shared" si="0"/>
        <v>279.39567271822932</v>
      </c>
      <c r="M16" s="51">
        <f t="shared" si="0"/>
        <v>293.36545635414075</v>
      </c>
      <c r="N16" s="51">
        <f t="shared" si="0"/>
        <v>307.33523999005223</v>
      </c>
      <c r="O16" s="51">
        <f t="shared" si="0"/>
        <v>312.92315344441681</v>
      </c>
      <c r="P16" s="51">
        <f t="shared" si="0"/>
        <v>318.51106689878139</v>
      </c>
      <c r="Q16" s="52">
        <f t="shared" si="0"/>
        <v>324.09898035314598</v>
      </c>
      <c r="R16" s="51">
        <f t="shared" si="0"/>
        <v>329.68689380751061</v>
      </c>
      <c r="S16" s="56">
        <f t="shared" si="0"/>
        <v>335.27480726187514</v>
      </c>
      <c r="T16" s="3"/>
    </row>
    <row r="17" spans="1:20" ht="15" x14ac:dyDescent="0.3">
      <c r="A17" s="7">
        <f t="shared" si="4"/>
        <v>14</v>
      </c>
      <c r="B17" s="8" t="s">
        <v>11</v>
      </c>
      <c r="C17" s="9">
        <v>7.99</v>
      </c>
      <c r="D17" s="9">
        <v>10.18</v>
      </c>
      <c r="E17" s="10">
        <f t="shared" si="5"/>
        <v>22.071709233791751</v>
      </c>
      <c r="F17" s="51">
        <f t="shared" si="3"/>
        <v>154.50196463654225</v>
      </c>
      <c r="G17" s="51">
        <f t="shared" si="0"/>
        <v>165.53781925343813</v>
      </c>
      <c r="H17" s="51">
        <f t="shared" si="0"/>
        <v>176.57367387033401</v>
      </c>
      <c r="I17" s="51">
        <f t="shared" si="0"/>
        <v>187.60952848722988</v>
      </c>
      <c r="J17" s="51">
        <f t="shared" si="0"/>
        <v>198.64538310412576</v>
      </c>
      <c r="K17" s="51">
        <f t="shared" si="0"/>
        <v>209.68123772102163</v>
      </c>
      <c r="L17" s="56">
        <f t="shared" si="0"/>
        <v>220.71709233791751</v>
      </c>
      <c r="M17" s="51">
        <f t="shared" si="0"/>
        <v>231.75294695481338</v>
      </c>
      <c r="N17" s="51">
        <f t="shared" si="0"/>
        <v>242.78880157170926</v>
      </c>
      <c r="O17" s="51">
        <f t="shared" si="0"/>
        <v>247.20314341846759</v>
      </c>
      <c r="P17" s="51">
        <f t="shared" si="0"/>
        <v>251.61748526522595</v>
      </c>
      <c r="Q17" s="52">
        <f t="shared" si="0"/>
        <v>256.03182711198428</v>
      </c>
      <c r="R17" s="51">
        <f t="shared" si="0"/>
        <v>260.44616895874265</v>
      </c>
      <c r="S17" s="56">
        <f t="shared" si="0"/>
        <v>264.86051080550101</v>
      </c>
      <c r="T17" s="3"/>
    </row>
    <row r="18" spans="1:20" ht="15" x14ac:dyDescent="0.3">
      <c r="A18" s="7">
        <f t="shared" si="4"/>
        <v>15</v>
      </c>
      <c r="B18" s="8" t="s">
        <v>12</v>
      </c>
      <c r="C18" s="9">
        <v>9.86</v>
      </c>
      <c r="D18" s="9">
        <v>12.57</v>
      </c>
      <c r="E18" s="10">
        <f t="shared" si="5"/>
        <v>17.875099443118536</v>
      </c>
      <c r="F18" s="51">
        <f t="shared" si="3"/>
        <v>125.12569610182976</v>
      </c>
      <c r="G18" s="51">
        <f t="shared" si="0"/>
        <v>134.06324582338902</v>
      </c>
      <c r="H18" s="51">
        <f t="shared" si="0"/>
        <v>143.00079554494829</v>
      </c>
      <c r="I18" s="51">
        <f t="shared" si="0"/>
        <v>151.93834526650755</v>
      </c>
      <c r="J18" s="51">
        <f t="shared" si="0"/>
        <v>160.87589498806682</v>
      </c>
      <c r="K18" s="51">
        <f t="shared" si="0"/>
        <v>169.81344470962608</v>
      </c>
      <c r="L18" s="56">
        <f t="shared" si="0"/>
        <v>178.75099443118535</v>
      </c>
      <c r="M18" s="51">
        <f t="shared" si="0"/>
        <v>187.68854415274464</v>
      </c>
      <c r="N18" s="51">
        <f t="shared" si="0"/>
        <v>196.6260938743039</v>
      </c>
      <c r="O18" s="51">
        <f t="shared" si="0"/>
        <v>200.2011137629276</v>
      </c>
      <c r="P18" s="51">
        <f t="shared" si="0"/>
        <v>203.77613365155131</v>
      </c>
      <c r="Q18" s="52">
        <f t="shared" si="0"/>
        <v>207.35115354017501</v>
      </c>
      <c r="R18" s="51">
        <f t="shared" si="0"/>
        <v>210.92617342879873</v>
      </c>
      <c r="S18" s="56">
        <f t="shared" si="0"/>
        <v>214.50119331742243</v>
      </c>
      <c r="T18" s="3"/>
    </row>
    <row r="19" spans="1:20" ht="15" x14ac:dyDescent="0.3">
      <c r="A19" s="7">
        <f t="shared" si="4"/>
        <v>16</v>
      </c>
      <c r="B19" s="8" t="s">
        <v>17</v>
      </c>
      <c r="C19" s="9">
        <v>10.88</v>
      </c>
      <c r="D19" s="9">
        <v>13.85</v>
      </c>
      <c r="E19" s="10">
        <f t="shared" si="5"/>
        <v>16.223104693140794</v>
      </c>
      <c r="F19" s="51">
        <f t="shared" si="3"/>
        <v>113.56173285198555</v>
      </c>
      <c r="G19" s="51">
        <f t="shared" si="0"/>
        <v>121.67328519855596</v>
      </c>
      <c r="H19" s="51">
        <f t="shared" si="0"/>
        <v>129.78483754512635</v>
      </c>
      <c r="I19" s="51">
        <f t="shared" si="0"/>
        <v>137.89638989169674</v>
      </c>
      <c r="J19" s="51">
        <f t="shared" si="0"/>
        <v>146.00794223826713</v>
      </c>
      <c r="K19" s="51">
        <f t="shared" si="0"/>
        <v>154.11949458483755</v>
      </c>
      <c r="L19" s="56">
        <f t="shared" si="0"/>
        <v>162.23104693140795</v>
      </c>
      <c r="M19" s="51">
        <f t="shared" si="0"/>
        <v>170.34259927797834</v>
      </c>
      <c r="N19" s="51">
        <f t="shared" si="0"/>
        <v>178.45415162454873</v>
      </c>
      <c r="O19" s="51">
        <f t="shared" si="0"/>
        <v>181.69877256317687</v>
      </c>
      <c r="P19" s="51">
        <f t="shared" si="0"/>
        <v>184.94339350180505</v>
      </c>
      <c r="Q19" s="52">
        <f t="shared" si="0"/>
        <v>188.18801444043319</v>
      </c>
      <c r="R19" s="51">
        <f t="shared" si="0"/>
        <v>191.43263537906137</v>
      </c>
      <c r="S19" s="56">
        <f t="shared" si="0"/>
        <v>194.67725631768951</v>
      </c>
      <c r="T19" s="3"/>
    </row>
    <row r="21" spans="1:20" ht="21" x14ac:dyDescent="0.4">
      <c r="C21" s="11" t="s">
        <v>35</v>
      </c>
      <c r="D21" s="2" t="s">
        <v>6</v>
      </c>
      <c r="J21" t="s">
        <v>43</v>
      </c>
      <c r="K21" s="202" t="s">
        <v>66</v>
      </c>
      <c r="L21" s="2" t="s">
        <v>72</v>
      </c>
    </row>
    <row r="22" spans="1:20" ht="21" x14ac:dyDescent="0.4">
      <c r="C22" s="11" t="s">
        <v>36</v>
      </c>
      <c r="D22" s="2" t="s">
        <v>53</v>
      </c>
      <c r="J22" t="s">
        <v>43</v>
      </c>
      <c r="K22" s="144"/>
      <c r="L22" s="2" t="s">
        <v>73</v>
      </c>
    </row>
    <row r="23" spans="1:20" ht="21" x14ac:dyDescent="0.4">
      <c r="C23" s="11" t="s">
        <v>37</v>
      </c>
      <c r="D23" s="2" t="s">
        <v>38</v>
      </c>
      <c r="J23" t="s">
        <v>43</v>
      </c>
      <c r="K23" s="144" t="s">
        <v>67</v>
      </c>
      <c r="L23" s="2" t="s">
        <v>68</v>
      </c>
    </row>
    <row r="24" spans="1:20" ht="21" x14ac:dyDescent="0.4">
      <c r="C24" s="11" t="s">
        <v>39</v>
      </c>
      <c r="D24" s="2" t="s">
        <v>55</v>
      </c>
      <c r="J24" t="s">
        <v>43</v>
      </c>
      <c r="L24" s="144"/>
    </row>
    <row r="25" spans="1:20" ht="21" x14ac:dyDescent="0.4">
      <c r="C25" s="11" t="s">
        <v>41</v>
      </c>
      <c r="D25" s="2" t="s">
        <v>56</v>
      </c>
      <c r="J25" t="s">
        <v>43</v>
      </c>
      <c r="L25" s="144"/>
    </row>
    <row r="26" spans="1:20" ht="21" x14ac:dyDescent="0.4">
      <c r="C26" s="11" t="s">
        <v>5</v>
      </c>
      <c r="D26" s="2" t="s">
        <v>58</v>
      </c>
      <c r="J26" t="s">
        <v>40</v>
      </c>
      <c r="L26" s="144"/>
    </row>
    <row r="27" spans="1:20" ht="21" x14ac:dyDescent="0.4">
      <c r="C27" s="11" t="s">
        <v>7</v>
      </c>
      <c r="D27" s="2" t="s">
        <v>57</v>
      </c>
      <c r="J27" t="s">
        <v>40</v>
      </c>
      <c r="L27" s="144"/>
    </row>
    <row r="28" spans="1:20" ht="21" x14ac:dyDescent="0.4">
      <c r="C28" s="11" t="s">
        <v>3</v>
      </c>
      <c r="D28" s="2" t="s">
        <v>8</v>
      </c>
      <c r="J28" t="s">
        <v>40</v>
      </c>
      <c r="L28" s="144"/>
    </row>
    <row r="29" spans="1:20" ht="21" x14ac:dyDescent="0.4">
      <c r="A29" s="1"/>
      <c r="B29" s="2"/>
      <c r="C29" s="11" t="s">
        <v>9</v>
      </c>
      <c r="D29" s="2" t="s">
        <v>29</v>
      </c>
      <c r="J29" t="s">
        <v>42</v>
      </c>
      <c r="L29" s="144"/>
    </row>
    <row r="30" spans="1:20" ht="18" x14ac:dyDescent="0.35">
      <c r="A30" s="1"/>
    </row>
    <row r="31" spans="1:20" ht="18" x14ac:dyDescent="0.35">
      <c r="A31" s="1"/>
    </row>
  </sheetData>
  <mergeCells count="2">
    <mergeCell ref="A2:D2"/>
    <mergeCell ref="T5:T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15</vt:i4>
      </vt:variant>
    </vt:vector>
  </HeadingPairs>
  <TitlesOfParts>
    <vt:vector size="15" baseType="lpstr">
      <vt:lpstr>Лист1</vt:lpstr>
      <vt:lpstr>#10new</vt:lpstr>
      <vt:lpstr>#12new</vt:lpstr>
      <vt:lpstr>#14new</vt:lpstr>
      <vt:lpstr>#16new</vt:lpstr>
      <vt:lpstr>#18new</vt:lpstr>
      <vt:lpstr>#20new</vt:lpstr>
      <vt:lpstr>#22new</vt:lpstr>
      <vt:lpstr>#24new</vt:lpstr>
      <vt:lpstr>#25new</vt:lpstr>
      <vt:lpstr>#28new</vt:lpstr>
      <vt:lpstr>#30new</vt:lpstr>
      <vt:lpstr>#32new</vt:lpstr>
      <vt:lpstr>#36new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AMKR</cp:lastModifiedBy>
  <cp:lastPrinted>2018-07-30T06:19:51Z</cp:lastPrinted>
  <dcterms:created xsi:type="dcterms:W3CDTF">2006-09-16T00:00:00Z</dcterms:created>
  <dcterms:modified xsi:type="dcterms:W3CDTF">2019-09-26T14:33:26Z</dcterms:modified>
</cp:coreProperties>
</file>